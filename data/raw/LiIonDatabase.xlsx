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TP\"/>
    </mc:Choice>
  </mc:AlternateContent>
  <xr:revisionPtr revIDLastSave="0" documentId="13_ncr:1_{6F5CABD0-8FBD-4F94-8E9B-632613676AC3}" xr6:coauthVersionLast="47" xr6:coauthVersionMax="47" xr10:uidLastSave="{00000000-0000-0000-0000-000000000000}"/>
  <bookViews>
    <workbookView xWindow="-108" yWindow="-108" windowWidth="23256" windowHeight="12456" xr2:uid="{72FB9274-FA49-4F40-917F-81011712FB12}"/>
  </bookViews>
  <sheets>
    <sheet name="LiIonData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2" i="1"/>
  <c r="T6" i="1"/>
  <c r="J140" i="1"/>
  <c r="J141" i="1"/>
  <c r="J204" i="1"/>
  <c r="J252" i="1"/>
  <c r="J428" i="1"/>
  <c r="I3" i="1"/>
  <c r="J3" i="1" s="1"/>
  <c r="I4" i="1"/>
  <c r="J4" i="1" s="1"/>
  <c r="I5" i="1"/>
  <c r="J5" i="1" s="1"/>
  <c r="I6" i="1"/>
  <c r="J6" i="1" s="1"/>
  <c r="I7" i="1"/>
  <c r="K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K17" i="1" s="1"/>
  <c r="I18" i="1"/>
  <c r="K18" i="1" s="1"/>
  <c r="I19" i="1"/>
  <c r="J19" i="1" s="1"/>
  <c r="I20" i="1"/>
  <c r="J20" i="1" s="1"/>
  <c r="I21" i="1"/>
  <c r="K21" i="1" s="1"/>
  <c r="I22" i="1"/>
  <c r="J22" i="1" s="1"/>
  <c r="I23" i="1"/>
  <c r="J23" i="1" s="1"/>
  <c r="I24" i="1"/>
  <c r="K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K32" i="1" s="1"/>
  <c r="I33" i="1"/>
  <c r="K33" i="1" s="1"/>
  <c r="I34" i="1"/>
  <c r="K34" i="1" s="1"/>
  <c r="I35" i="1"/>
  <c r="K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K50" i="1" s="1"/>
  <c r="I51" i="1"/>
  <c r="J51" i="1" s="1"/>
  <c r="I52" i="1"/>
  <c r="K52" i="1" s="1"/>
  <c r="I53" i="1"/>
  <c r="K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K64" i="1" s="1"/>
  <c r="I65" i="1"/>
  <c r="K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K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K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K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K96" i="1" s="1"/>
  <c r="I97" i="1"/>
  <c r="K97" i="1" s="1"/>
  <c r="I98" i="1"/>
  <c r="K98" i="1" s="1"/>
  <c r="I99" i="1"/>
  <c r="K99" i="1" s="1"/>
  <c r="I100" i="1"/>
  <c r="K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K112" i="1" s="1"/>
  <c r="I113" i="1"/>
  <c r="K113" i="1" s="1"/>
  <c r="I114" i="1"/>
  <c r="K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K131" i="1" s="1"/>
  <c r="I132" i="1"/>
  <c r="K132" i="1" s="1"/>
  <c r="I133" i="1"/>
  <c r="K133" i="1" s="1"/>
  <c r="I134" i="1"/>
  <c r="J134" i="1" s="1"/>
  <c r="I135" i="1"/>
  <c r="K135" i="1" s="1"/>
  <c r="I136" i="1"/>
  <c r="K136" i="1" s="1"/>
  <c r="I137" i="1"/>
  <c r="J137" i="1" s="1"/>
  <c r="I138" i="1"/>
  <c r="J138" i="1" s="1"/>
  <c r="I139" i="1"/>
  <c r="J139" i="1" s="1"/>
  <c r="I140" i="1"/>
  <c r="I141" i="1"/>
  <c r="I142" i="1"/>
  <c r="J142" i="1" s="1"/>
  <c r="I143" i="1"/>
  <c r="J143" i="1" s="1"/>
  <c r="I144" i="1"/>
  <c r="J144" i="1" s="1"/>
  <c r="I145" i="1"/>
  <c r="K145" i="1" s="1"/>
  <c r="I146" i="1"/>
  <c r="K146" i="1" s="1"/>
  <c r="I147" i="1"/>
  <c r="K147" i="1" s="1"/>
  <c r="I148" i="1"/>
  <c r="J148" i="1" s="1"/>
  <c r="I149" i="1"/>
  <c r="J149" i="1" s="1"/>
  <c r="I150" i="1"/>
  <c r="J150" i="1" s="1"/>
  <c r="I151" i="1"/>
  <c r="J151" i="1" s="1"/>
  <c r="I152" i="1"/>
  <c r="K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K161" i="1" s="1"/>
  <c r="I162" i="1"/>
  <c r="J162" i="1" s="1"/>
  <c r="I163" i="1"/>
  <c r="J163" i="1" s="1"/>
  <c r="I164" i="1"/>
  <c r="J164" i="1" s="1"/>
  <c r="I165" i="1"/>
  <c r="K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K179" i="1" s="1"/>
  <c r="I180" i="1"/>
  <c r="K180" i="1" s="1"/>
  <c r="I181" i="1"/>
  <c r="K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K195" i="1" s="1"/>
  <c r="I196" i="1"/>
  <c r="K196" i="1" s="1"/>
  <c r="I197" i="1"/>
  <c r="J197" i="1" s="1"/>
  <c r="I198" i="1"/>
  <c r="J198" i="1" s="1"/>
  <c r="I199" i="1"/>
  <c r="K199" i="1" s="1"/>
  <c r="I200" i="1"/>
  <c r="K200" i="1" s="1"/>
  <c r="I201" i="1"/>
  <c r="J201" i="1" s="1"/>
  <c r="I202" i="1"/>
  <c r="J202" i="1" s="1"/>
  <c r="I203" i="1"/>
  <c r="J203" i="1" s="1"/>
  <c r="I204" i="1"/>
  <c r="I205" i="1"/>
  <c r="J205" i="1" s="1"/>
  <c r="I206" i="1"/>
  <c r="J206" i="1" s="1"/>
  <c r="I207" i="1"/>
  <c r="J207" i="1" s="1"/>
  <c r="I208" i="1"/>
  <c r="J208" i="1" s="1"/>
  <c r="I209" i="1"/>
  <c r="K209" i="1" s="1"/>
  <c r="I210" i="1"/>
  <c r="K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K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K224" i="1" s="1"/>
  <c r="I225" i="1"/>
  <c r="K225" i="1" s="1"/>
  <c r="I226" i="1"/>
  <c r="K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K240" i="1" s="1"/>
  <c r="I241" i="1"/>
  <c r="K241" i="1" s="1"/>
  <c r="I242" i="1"/>
  <c r="K242" i="1" s="1"/>
  <c r="I243" i="1"/>
  <c r="J243" i="1" s="1"/>
  <c r="I244" i="1"/>
  <c r="K244" i="1" s="1"/>
  <c r="I245" i="1"/>
  <c r="J245" i="1" s="1"/>
  <c r="I246" i="1"/>
  <c r="J246" i="1" s="1"/>
  <c r="I247" i="1"/>
  <c r="J247" i="1" s="1"/>
  <c r="I248" i="1"/>
  <c r="K248" i="1" s="1"/>
  <c r="I249" i="1"/>
  <c r="J249" i="1" s="1"/>
  <c r="I250" i="1"/>
  <c r="J250" i="1" s="1"/>
  <c r="I251" i="1"/>
  <c r="J251" i="1" s="1"/>
  <c r="I252" i="1"/>
  <c r="I253" i="1"/>
  <c r="J253" i="1" s="1"/>
  <c r="I254" i="1"/>
  <c r="J254" i="1" s="1"/>
  <c r="I255" i="1"/>
  <c r="J255" i="1" s="1"/>
  <c r="I256" i="1"/>
  <c r="K256" i="1" s="1"/>
  <c r="I257" i="1"/>
  <c r="K257" i="1" s="1"/>
  <c r="I258" i="1"/>
  <c r="K258" i="1" s="1"/>
  <c r="I259" i="1"/>
  <c r="K259" i="1" s="1"/>
  <c r="I260" i="1"/>
  <c r="J260" i="1" s="1"/>
  <c r="I261" i="1"/>
  <c r="J261" i="1" s="1"/>
  <c r="I262" i="1"/>
  <c r="J262" i="1" s="1"/>
  <c r="I263" i="1"/>
  <c r="J263" i="1" s="1"/>
  <c r="I264" i="1"/>
  <c r="K264" i="1" s="1"/>
  <c r="I265" i="1"/>
  <c r="J265" i="1" s="1"/>
  <c r="I266" i="1"/>
  <c r="K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K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K288" i="1" s="1"/>
  <c r="I289" i="1"/>
  <c r="K289" i="1" s="1"/>
  <c r="I290" i="1"/>
  <c r="K290" i="1" s="1"/>
  <c r="I291" i="1"/>
  <c r="J291" i="1" s="1"/>
  <c r="I292" i="1"/>
  <c r="J292" i="1" s="1"/>
  <c r="I293" i="1"/>
  <c r="K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K304" i="1" s="1"/>
  <c r="I305" i="1"/>
  <c r="J305" i="1" s="1"/>
  <c r="I306" i="1"/>
  <c r="K306" i="1" s="1"/>
  <c r="I307" i="1"/>
  <c r="K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K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K320" i="1" s="1"/>
  <c r="I321" i="1"/>
  <c r="J321" i="1" s="1"/>
  <c r="I322" i="1"/>
  <c r="K322" i="1" s="1"/>
  <c r="I323" i="1"/>
  <c r="K323" i="1" s="1"/>
  <c r="I324" i="1"/>
  <c r="K324" i="1" s="1"/>
  <c r="I325" i="1"/>
  <c r="K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K337" i="1" s="1"/>
  <c r="I338" i="1"/>
  <c r="K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K352" i="1" s="1"/>
  <c r="I353" i="1"/>
  <c r="K353" i="1" s="1"/>
  <c r="I354" i="1"/>
  <c r="K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K368" i="1" s="1"/>
  <c r="I369" i="1"/>
  <c r="K369" i="1" s="1"/>
  <c r="I370" i="1"/>
  <c r="K370" i="1" s="1"/>
  <c r="I371" i="1"/>
  <c r="K371" i="1" s="1"/>
  <c r="I372" i="1"/>
  <c r="J372" i="1" s="1"/>
  <c r="I373" i="1"/>
  <c r="K373" i="1" s="1"/>
  <c r="I374" i="1"/>
  <c r="J374" i="1" s="1"/>
  <c r="I375" i="1"/>
  <c r="J375" i="1" s="1"/>
  <c r="I376" i="1"/>
  <c r="K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K384" i="1" s="1"/>
  <c r="I385" i="1"/>
  <c r="J385" i="1" s="1"/>
  <c r="I386" i="1"/>
  <c r="K386" i="1" s="1"/>
  <c r="I387" i="1"/>
  <c r="K387" i="1" s="1"/>
  <c r="I388" i="1"/>
  <c r="J388" i="1" s="1"/>
  <c r="I389" i="1"/>
  <c r="K389" i="1" s="1"/>
  <c r="I390" i="1"/>
  <c r="K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K416" i="1" s="1"/>
  <c r="I417" i="1"/>
  <c r="K417" i="1" s="1"/>
  <c r="I418" i="1"/>
  <c r="K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I429" i="1"/>
  <c r="J429" i="1" s="1"/>
  <c r="I430" i="1"/>
  <c r="J430" i="1" s="1"/>
  <c r="I431" i="1"/>
  <c r="J431" i="1" s="1"/>
  <c r="I432" i="1"/>
  <c r="K432" i="1" s="1"/>
  <c r="I433" i="1"/>
  <c r="J433" i="1" s="1"/>
  <c r="I434" i="1"/>
  <c r="K434" i="1" s="1"/>
  <c r="I435" i="1"/>
  <c r="K435" i="1" s="1"/>
  <c r="I436" i="1"/>
  <c r="J436" i="1" s="1"/>
  <c r="I437" i="1"/>
  <c r="J437" i="1" s="1"/>
  <c r="I438" i="1"/>
  <c r="J438" i="1" s="1"/>
  <c r="I439" i="1"/>
  <c r="J439" i="1" s="1"/>
  <c r="I440" i="1"/>
  <c r="K440" i="1" s="1"/>
  <c r="I441" i="1"/>
  <c r="J441" i="1" s="1"/>
  <c r="I442" i="1"/>
  <c r="J442" i="1" s="1"/>
  <c r="I443" i="1"/>
  <c r="J443" i="1" s="1"/>
  <c r="I2" i="1"/>
  <c r="J2" i="1" s="1"/>
  <c r="M2" i="1"/>
  <c r="T7" i="1"/>
  <c r="K408" i="1" l="1"/>
  <c r="K392" i="1"/>
  <c r="K359" i="1"/>
  <c r="K358" i="1"/>
  <c r="K86" i="1"/>
  <c r="K214" i="1"/>
  <c r="K184" i="1"/>
  <c r="K120" i="1"/>
  <c r="K312" i="1"/>
  <c r="K232" i="1"/>
  <c r="K198" i="1"/>
  <c r="K87" i="1"/>
  <c r="K310" i="1"/>
  <c r="K294" i="1"/>
  <c r="K134" i="1"/>
  <c r="K263" i="1"/>
  <c r="K402" i="1"/>
  <c r="K118" i="1"/>
  <c r="K116" i="1"/>
  <c r="J266" i="1"/>
  <c r="K391" i="1"/>
  <c r="K115" i="1"/>
  <c r="K343" i="1"/>
  <c r="K54" i="1"/>
  <c r="K342" i="1"/>
  <c r="K183" i="1"/>
  <c r="K39" i="1"/>
  <c r="K326" i="1"/>
  <c r="K182" i="1"/>
  <c r="K38" i="1"/>
  <c r="K167" i="1"/>
  <c r="K23" i="1"/>
  <c r="K438" i="1"/>
  <c r="K311" i="1"/>
  <c r="K166" i="1"/>
  <c r="K20" i="1"/>
  <c r="K423" i="1"/>
  <c r="K151" i="1"/>
  <c r="K19" i="1"/>
  <c r="K422" i="1"/>
  <c r="K150" i="1"/>
  <c r="K6" i="1"/>
  <c r="K278" i="1"/>
  <c r="K407" i="1"/>
  <c r="K128" i="1"/>
  <c r="K406" i="1"/>
  <c r="K262" i="1"/>
  <c r="K247" i="1"/>
  <c r="K246" i="1"/>
  <c r="K374" i="1"/>
  <c r="K230" i="1"/>
  <c r="K102" i="1"/>
  <c r="K164" i="1"/>
  <c r="K83" i="1"/>
  <c r="K260" i="1"/>
  <c r="K101" i="1"/>
  <c r="K308" i="1"/>
  <c r="K51" i="1"/>
  <c r="J418" i="1"/>
  <c r="J386" i="1"/>
  <c r="J354" i="1"/>
  <c r="J322" i="1"/>
  <c r="J290" i="1"/>
  <c r="J258" i="1"/>
  <c r="J226" i="1"/>
  <c r="J98" i="1"/>
  <c r="J18" i="1"/>
  <c r="K340" i="1"/>
  <c r="J417" i="1"/>
  <c r="J353" i="1"/>
  <c r="J289" i="1"/>
  <c r="J257" i="1"/>
  <c r="J225" i="1"/>
  <c r="J161" i="1"/>
  <c r="J97" i="1"/>
  <c r="J65" i="1"/>
  <c r="J33" i="1"/>
  <c r="J432" i="1"/>
  <c r="J416" i="1"/>
  <c r="J384" i="1"/>
  <c r="J368" i="1"/>
  <c r="J352" i="1"/>
  <c r="J320" i="1"/>
  <c r="J304" i="1"/>
  <c r="J288" i="1"/>
  <c r="J256" i="1"/>
  <c r="J240" i="1"/>
  <c r="J224" i="1"/>
  <c r="J112" i="1"/>
  <c r="J96" i="1"/>
  <c r="J64" i="1"/>
  <c r="J32" i="1"/>
  <c r="J434" i="1"/>
  <c r="J370" i="1"/>
  <c r="J338" i="1"/>
  <c r="J306" i="1"/>
  <c r="J274" i="1"/>
  <c r="J242" i="1"/>
  <c r="J210" i="1"/>
  <c r="J146" i="1"/>
  <c r="J114" i="1"/>
  <c r="J82" i="1"/>
  <c r="J50" i="1"/>
  <c r="J34" i="1"/>
  <c r="K405" i="1"/>
  <c r="J369" i="1"/>
  <c r="J337" i="1"/>
  <c r="J241" i="1"/>
  <c r="J209" i="1"/>
  <c r="J145" i="1"/>
  <c r="J113" i="1"/>
  <c r="J17" i="1"/>
  <c r="K404" i="1"/>
  <c r="K339" i="1"/>
  <c r="K403" i="1"/>
  <c r="K243" i="1"/>
  <c r="K168" i="1"/>
  <c r="K117" i="1"/>
  <c r="K36" i="1"/>
  <c r="K5" i="1"/>
  <c r="K228" i="1"/>
  <c r="K309" i="1"/>
  <c r="J199" i="1"/>
  <c r="J135" i="1"/>
  <c r="J71" i="1"/>
  <c r="J7" i="1"/>
  <c r="K437" i="1"/>
  <c r="K163" i="1"/>
  <c r="K37" i="1"/>
  <c r="K213" i="1"/>
  <c r="K212" i="1"/>
  <c r="K84" i="1"/>
  <c r="J440" i="1"/>
  <c r="J376" i="1"/>
  <c r="J248" i="1"/>
  <c r="J216" i="1"/>
  <c r="J152" i="1"/>
  <c r="J88" i="1"/>
  <c r="J24" i="1"/>
  <c r="K261" i="1"/>
  <c r="K211" i="1"/>
  <c r="K72" i="1"/>
  <c r="K245" i="1"/>
  <c r="K420" i="1"/>
  <c r="K357" i="1"/>
  <c r="K275" i="1"/>
  <c r="K148" i="1"/>
  <c r="J390" i="1"/>
  <c r="K197" i="1"/>
  <c r="K227" i="1"/>
  <c r="K436" i="1"/>
  <c r="K372" i="1"/>
  <c r="K85" i="1"/>
  <c r="K4" i="1"/>
  <c r="J313" i="1"/>
  <c r="K388" i="1"/>
  <c r="K3" i="1"/>
  <c r="J264" i="1"/>
  <c r="J200" i="1"/>
  <c r="J136" i="1"/>
  <c r="K421" i="1"/>
  <c r="K276" i="1"/>
  <c r="K149" i="1"/>
  <c r="K419" i="1"/>
  <c r="K356" i="1"/>
  <c r="K68" i="1"/>
  <c r="J389" i="1"/>
  <c r="J373" i="1"/>
  <c r="J325" i="1"/>
  <c r="J293" i="1"/>
  <c r="J181" i="1"/>
  <c r="J165" i="1"/>
  <c r="J133" i="1"/>
  <c r="J53" i="1"/>
  <c r="J21" i="1"/>
  <c r="K355" i="1"/>
  <c r="K67" i="1"/>
  <c r="J324" i="1"/>
  <c r="J244" i="1"/>
  <c r="J196" i="1"/>
  <c r="J180" i="1"/>
  <c r="J132" i="1"/>
  <c r="J100" i="1"/>
  <c r="J52" i="1"/>
  <c r="J435" i="1"/>
  <c r="J387" i="1"/>
  <c r="J371" i="1"/>
  <c r="J323" i="1"/>
  <c r="J307" i="1"/>
  <c r="J259" i="1"/>
  <c r="J195" i="1"/>
  <c r="J179" i="1"/>
  <c r="J147" i="1"/>
  <c r="J131" i="1"/>
  <c r="J99" i="1"/>
  <c r="J35" i="1"/>
  <c r="K295" i="1"/>
  <c r="K69" i="1"/>
  <c r="K292" i="1"/>
  <c r="K296" i="1"/>
  <c r="K70" i="1"/>
  <c r="K360" i="1"/>
  <c r="K441" i="1"/>
  <c r="K271" i="1"/>
  <c r="K439" i="1"/>
  <c r="K361" i="1"/>
  <c r="K237" i="1"/>
  <c r="K291" i="1"/>
  <c r="K231" i="1"/>
  <c r="K236" i="1"/>
  <c r="K233" i="1"/>
  <c r="K279" i="1"/>
  <c r="K22" i="1"/>
  <c r="K341" i="1"/>
  <c r="K277" i="1"/>
  <c r="K362" i="1"/>
  <c r="K344" i="1"/>
  <c r="K229" i="1"/>
  <c r="K119" i="1"/>
  <c r="K268" i="1"/>
  <c r="K235" i="1"/>
  <c r="K40" i="1"/>
  <c r="K399" i="1"/>
  <c r="K267" i="1"/>
  <c r="K234" i="1"/>
  <c r="K328" i="1"/>
  <c r="K281" i="1"/>
  <c r="K217" i="1"/>
  <c r="K383" i="1"/>
  <c r="K424" i="1"/>
  <c r="K255" i="1"/>
  <c r="K218" i="1"/>
  <c r="K104" i="1"/>
  <c r="K327" i="1"/>
  <c r="K280" i="1"/>
  <c r="K80" i="1"/>
  <c r="K56" i="1"/>
  <c r="K8" i="1"/>
  <c r="K409" i="1"/>
  <c r="K365" i="1"/>
  <c r="K364" i="1"/>
  <c r="K363" i="1"/>
  <c r="K329" i="1"/>
  <c r="K265" i="1"/>
  <c r="K215" i="1"/>
  <c r="K401" i="1"/>
  <c r="K194" i="1"/>
  <c r="K400" i="1"/>
  <c r="K380" i="1"/>
  <c r="K192" i="1"/>
  <c r="K103" i="1"/>
  <c r="K398" i="1"/>
  <c r="K378" i="1"/>
  <c r="K254" i="1"/>
  <c r="K382" i="1"/>
  <c r="K381" i="1"/>
  <c r="K377" i="1"/>
  <c r="K273" i="1"/>
  <c r="K81" i="1"/>
  <c r="K193" i="1"/>
  <c r="K379" i="1"/>
  <c r="K397" i="1"/>
  <c r="K253" i="1"/>
  <c r="K346" i="1"/>
  <c r="K272" i="1"/>
  <c r="K252" i="1"/>
  <c r="K425" i="1"/>
  <c r="K347" i="1"/>
  <c r="K396" i="1"/>
  <c r="K395" i="1"/>
  <c r="K375" i="1"/>
  <c r="K345" i="1"/>
  <c r="K251" i="1"/>
  <c r="K394" i="1"/>
  <c r="K270" i="1"/>
  <c r="K250" i="1"/>
  <c r="K55" i="1"/>
  <c r="K393" i="1"/>
  <c r="K297" i="1"/>
  <c r="K269" i="1"/>
  <c r="K249" i="1"/>
  <c r="K219" i="1"/>
  <c r="K47" i="1"/>
  <c r="K174" i="1"/>
  <c r="K94" i="1"/>
  <c r="K78" i="1"/>
  <c r="K286" i="1"/>
  <c r="K125" i="1"/>
  <c r="K29" i="1"/>
  <c r="K431" i="1"/>
  <c r="K303" i="1"/>
  <c r="K188" i="1"/>
  <c r="K108" i="1"/>
  <c r="K60" i="1"/>
  <c r="K430" i="1"/>
  <c r="K284" i="1"/>
  <c r="K155" i="1"/>
  <c r="K43" i="1"/>
  <c r="K202" i="1"/>
  <c r="K42" i="1"/>
  <c r="K178" i="1"/>
  <c r="K336" i="1"/>
  <c r="K300" i="1"/>
  <c r="K208" i="1"/>
  <c r="K143" i="1"/>
  <c r="K111" i="1"/>
  <c r="K63" i="1"/>
  <c r="K130" i="1"/>
  <c r="K126" i="1"/>
  <c r="K46" i="1"/>
  <c r="K414" i="1"/>
  <c r="K173" i="1"/>
  <c r="K93" i="1"/>
  <c r="K61" i="1"/>
  <c r="K124" i="1"/>
  <c r="K44" i="1"/>
  <c r="K171" i="1"/>
  <c r="K91" i="1"/>
  <c r="K59" i="1"/>
  <c r="K319" i="1"/>
  <c r="K170" i="1"/>
  <c r="K106" i="1"/>
  <c r="K90" i="1"/>
  <c r="K58" i="1"/>
  <c r="K318" i="1"/>
  <c r="K177" i="1"/>
  <c r="K427" i="1"/>
  <c r="K335" i="1"/>
  <c r="K317" i="1"/>
  <c r="K299" i="1"/>
  <c r="K207" i="1"/>
  <c r="K176" i="1"/>
  <c r="K426" i="1"/>
  <c r="K334" i="1"/>
  <c r="K316" i="1"/>
  <c r="K298" i="1"/>
  <c r="K206" i="1"/>
  <c r="K49" i="1"/>
  <c r="K48" i="1"/>
  <c r="K175" i="1"/>
  <c r="K15" i="1"/>
  <c r="K433" i="1"/>
  <c r="K305" i="1"/>
  <c r="K142" i="1"/>
  <c r="K14" i="1"/>
  <c r="K16" i="1"/>
  <c r="K157" i="1"/>
  <c r="K13" i="1"/>
  <c r="K413" i="1"/>
  <c r="K285" i="1"/>
  <c r="K172" i="1"/>
  <c r="K12" i="1"/>
  <c r="K412" i="1"/>
  <c r="K107" i="1"/>
  <c r="K11" i="1"/>
  <c r="K66" i="1"/>
  <c r="K429" i="1"/>
  <c r="K411" i="1"/>
  <c r="K283" i="1"/>
  <c r="K138" i="1"/>
  <c r="K10" i="1"/>
  <c r="K428" i="1"/>
  <c r="K333" i="1"/>
  <c r="K315" i="1"/>
  <c r="K223" i="1"/>
  <c r="K144" i="1"/>
  <c r="K332" i="1"/>
  <c r="K204" i="1"/>
  <c r="K162" i="1"/>
  <c r="K159" i="1"/>
  <c r="K31" i="1"/>
  <c r="K160" i="1"/>
  <c r="K415" i="1"/>
  <c r="K287" i="1"/>
  <c r="K158" i="1"/>
  <c r="K30" i="1"/>
  <c r="K141" i="1"/>
  <c r="K45" i="1"/>
  <c r="K321" i="1"/>
  <c r="K140" i="1"/>
  <c r="K28" i="1"/>
  <c r="K302" i="1"/>
  <c r="K123" i="1"/>
  <c r="K27" i="1"/>
  <c r="K301" i="1"/>
  <c r="K122" i="1"/>
  <c r="K26" i="1"/>
  <c r="K410" i="1"/>
  <c r="K282" i="1"/>
  <c r="K443" i="1"/>
  <c r="K351" i="1"/>
  <c r="K205" i="1"/>
  <c r="K442" i="1"/>
  <c r="K350" i="1"/>
  <c r="K314" i="1"/>
  <c r="K222" i="1"/>
  <c r="K385" i="1"/>
  <c r="K367" i="1"/>
  <c r="K349" i="1"/>
  <c r="K331" i="1"/>
  <c r="K239" i="1"/>
  <c r="K221" i="1"/>
  <c r="K203" i="1"/>
  <c r="K191" i="1"/>
  <c r="K127" i="1"/>
  <c r="K95" i="1"/>
  <c r="K79" i="1"/>
  <c r="K190" i="1"/>
  <c r="K110" i="1"/>
  <c r="K62" i="1"/>
  <c r="K129" i="1"/>
  <c r="K189" i="1"/>
  <c r="K109" i="1"/>
  <c r="K77" i="1"/>
  <c r="K156" i="1"/>
  <c r="K92" i="1"/>
  <c r="K76" i="1"/>
  <c r="K187" i="1"/>
  <c r="K139" i="1"/>
  <c r="K75" i="1"/>
  <c r="K186" i="1"/>
  <c r="K154" i="1"/>
  <c r="K74" i="1"/>
  <c r="K366" i="1"/>
  <c r="K348" i="1"/>
  <c r="K330" i="1"/>
  <c r="K238" i="1"/>
  <c r="K220" i="1"/>
  <c r="K201" i="1"/>
  <c r="K185" i="1"/>
  <c r="K169" i="1"/>
  <c r="K153" i="1"/>
  <c r="K137" i="1"/>
  <c r="K121" i="1"/>
  <c r="K105" i="1"/>
  <c r="K89" i="1"/>
  <c r="K73" i="1"/>
  <c r="K57" i="1"/>
  <c r="K41" i="1"/>
  <c r="K25" i="1"/>
  <c r="K9" i="1"/>
  <c r="K2" i="1"/>
  <c r="T5" i="1" l="1"/>
  <c r="T4" i="1"/>
</calcChain>
</file>

<file path=xl/sharedStrings.xml><?xml version="1.0" encoding="utf-8"?>
<sst xmlns="http://schemas.openxmlformats.org/spreadsheetml/2006/main" count="1783" uniqueCount="629">
  <si>
    <t>ID</t>
  </si>
  <si>
    <t>composition</t>
  </si>
  <si>
    <t>source</t>
  </si>
  <si>
    <t>temperature</t>
  </si>
  <si>
    <t>target</t>
  </si>
  <si>
    <t>log_target</t>
  </si>
  <si>
    <t>family</t>
  </si>
  <si>
    <t>ChemicalFamily</t>
  </si>
  <si>
    <t>Li6Sr0.5Ba0.5La2Ta2O12</t>
  </si>
  <si>
    <t>10.1149/1.2800764</t>
  </si>
  <si>
    <t>Garnet</t>
  </si>
  <si>
    <t>Oxides</t>
  </si>
  <si>
    <t>Li1.4Al0.4(Ge0.67Ti0.33)1.6(PO4)3</t>
  </si>
  <si>
    <t>10.1016/j.ssi.2004.05.009</t>
  </si>
  <si>
    <t>NASICON</t>
  </si>
  <si>
    <t>Li1.4Al0.4Ti1.6(PO4)3</t>
  </si>
  <si>
    <t>10.1016/j.ssi.2006.04.010</t>
  </si>
  <si>
    <t>"(Li2S)0.4 ((Ga2S3)0.1 (GeS2)0.9)0.6"</t>
  </si>
  <si>
    <t>10.1016/j.ssi.2007.10.011</t>
  </si>
  <si>
    <t>Glass</t>
  </si>
  <si>
    <t>Sulphides</t>
  </si>
  <si>
    <t>Li1.076Al0.6923Ti1.462(PO4)3</t>
  </si>
  <si>
    <t>10.1016/S0167-2738(97)00018-0</t>
  </si>
  <si>
    <t>Li6MgLa2Ta2O12</t>
  </si>
  <si>
    <t>LiGe2(PO4)3</t>
  </si>
  <si>
    <t>10.1016/S0167-2738(97)00434-7</t>
  </si>
  <si>
    <t>Li1.3Al0.3Ti1.7(PO4)3</t>
  </si>
  <si>
    <t>10.1007/s11581-007-0197-5</t>
  </si>
  <si>
    <t xml:space="preserve">Li6BaLa2Ta2O12 </t>
  </si>
  <si>
    <t>10.1002/adfm.200400044</t>
  </si>
  <si>
    <t>Li6SrLa2Ta2O12</t>
  </si>
  <si>
    <t xml:space="preserve">Li6BaLa2Nb2O12 </t>
  </si>
  <si>
    <t>10.1111/j.1551-2916.2005.00060.x</t>
  </si>
  <si>
    <t xml:space="preserve">Li6SrLa2Nb2O12 </t>
  </si>
  <si>
    <t>Li6CaLa2Nb2O12</t>
  </si>
  <si>
    <t>Li2OHBr</t>
  </si>
  <si>
    <t>10.1002/aenm.201700971</t>
  </si>
  <si>
    <t>Anti-Perovskite</t>
  </si>
  <si>
    <t>Oxides and Other Anions</t>
  </si>
  <si>
    <t>Li0.24La0.59TiO3</t>
  </si>
  <si>
    <t>10.1007/s10717-007-0032-5</t>
  </si>
  <si>
    <t>Perovskite</t>
  </si>
  <si>
    <t>LiHfTi(PO4)3</t>
  </si>
  <si>
    <t>10.1016/0025-5408(89)90129-3</t>
  </si>
  <si>
    <t>"(LiCl)0.25 ((Li2O)0.6 (P2O5)0.4)0.75"</t>
  </si>
  <si>
    <t>10.1016/j.jpowsour.2008.07.089</t>
  </si>
  <si>
    <t xml:space="preserve">Li6.4La3Zr2Ga0.2O12 </t>
  </si>
  <si>
    <t>10.1021/cm5008069</t>
  </si>
  <si>
    <t xml:space="preserve">Li6La3Nb1.5Y0.5O12 </t>
  </si>
  <si>
    <t>10.1021/jp304737x</t>
  </si>
  <si>
    <t>Li7La3Zr2O12</t>
  </si>
  <si>
    <t>10.1002/anie.200701144</t>
  </si>
  <si>
    <t xml:space="preserve"> Li6.4Al0.19La3Zr2O11.8</t>
  </si>
  <si>
    <t>10.1016/j.jpowsour.2012.02.100</t>
  </si>
  <si>
    <t>10.1016/j.jssc.2009.05.020</t>
  </si>
  <si>
    <t>Li9.6P3S12</t>
  </si>
  <si>
    <t>10.1038/nenergy.2016.30</t>
  </si>
  <si>
    <t>Thio-LISICON</t>
  </si>
  <si>
    <t>10.1016/j.ssi.2014.07.018</t>
  </si>
  <si>
    <t>10.1016/j.ssi.2016.07.010</t>
  </si>
  <si>
    <t>Li1.6Al0.6Ge0.8(PO4)3</t>
  </si>
  <si>
    <t>10.1021/cm021717j</t>
  </si>
  <si>
    <t>Li6.55La3Zr2Ga0.9O12</t>
  </si>
  <si>
    <t>LiTi2(PO4)3</t>
  </si>
  <si>
    <t>10.1021/jp973296c</t>
  </si>
  <si>
    <t>Li9.54Si1.74P1.44S11.7Cl0.3</t>
  </si>
  <si>
    <t>Sulphides and Other Anions</t>
  </si>
  <si>
    <t>Li7P3S11</t>
  </si>
  <si>
    <t>10.1039/C3EE41655K</t>
  </si>
  <si>
    <t>10.1039/C5TA08545D</t>
  </si>
  <si>
    <t>Li6PO5Cl</t>
  </si>
  <si>
    <t>10.1002/zaac.201000121</t>
  </si>
  <si>
    <t>Argyrodite</t>
  </si>
  <si>
    <t>Li7.06La3Zr1.94Y0.06O12</t>
  </si>
  <si>
    <t>10.1016/j.elecom.2011.08.014</t>
  </si>
  <si>
    <t>Li1.2Ti1.8Sc0.2(PO4)3</t>
  </si>
  <si>
    <t>10.1021/acs.inorgchem.6b02274</t>
  </si>
  <si>
    <t>Li10GeP2S12</t>
  </si>
  <si>
    <t>10.1016/j.ssi.2015.02.014</t>
  </si>
  <si>
    <t>Li6.46Al0.15La3Zr1.95O11.86</t>
  </si>
  <si>
    <t>10.1016/j.ensm.2019.08.017</t>
  </si>
  <si>
    <t>Li3.25Ge0.25P0.75S4</t>
  </si>
  <si>
    <t>La0.55Li0.36Ti0.992Al0.008O3</t>
  </si>
  <si>
    <t>10.1007/BF02375549</t>
  </si>
  <si>
    <t>Li0.33La0.56Ti0.96Al0.04O2.96F0.04</t>
  </si>
  <si>
    <t>10.1007/s11581-006-0011-9</t>
  </si>
  <si>
    <t>"(Li2S)0.4 ((P2S5)0.4 (Sb2S3)0.6)0.6"</t>
  </si>
  <si>
    <t>10.1007/s11581-006-0054-y</t>
  </si>
  <si>
    <t>LiP0.9I0.1O2.7</t>
  </si>
  <si>
    <t>10.1007/s11581-008-0252-x</t>
  </si>
  <si>
    <t>"(Li2O)50 (Al2O3)2 (P2O5)48"</t>
  </si>
  <si>
    <t>10.1016/j.jeurceramsoc.2008.12.016</t>
  </si>
  <si>
    <t>"(Li2O)50 (Al2O3)3 (P2O5)47"</t>
  </si>
  <si>
    <t>"(Li2O)50 (Al2O3)4 (P2O5)46"</t>
  </si>
  <si>
    <t>"(LiI)0.3 ((Li2S)0.3 ((Ga2S3)0.1 (GeS2)0.9)0.7)0.7"</t>
  </si>
  <si>
    <t>"(Li2S)0.3 ((Ga2S3)0.1 (GeS2)0.9)0.7"</t>
  </si>
  <si>
    <t>"(Li2S)0.7 (P2S5)0.3"</t>
  </si>
  <si>
    <t>10.1016/j.jpowsour.2006.04.037</t>
  </si>
  <si>
    <t>"(Li2S)0.8 (P2S5)0.2"</t>
  </si>
  <si>
    <t>"(Li2S)0.875 (P2S5)0.125"</t>
  </si>
  <si>
    <t>Li1.4S2.2P0.6</t>
  </si>
  <si>
    <t>10.1016/j.jpowsour.2008.09.044</t>
  </si>
  <si>
    <t>10.1016/j.ssi.2006.07.017</t>
  </si>
  <si>
    <t>Li6La2SrNb2O12</t>
  </si>
  <si>
    <t>10.1016/j.ssi.2008.01.047</t>
  </si>
  <si>
    <t>10.1016/j.ssi.2008.10.022</t>
  </si>
  <si>
    <t>Li5La3Ta2O12</t>
  </si>
  <si>
    <t>10.1016/j.ssi.2009.11.015</t>
  </si>
  <si>
    <t>Li4.2Ge0.8Ga0.2S4</t>
  </si>
  <si>
    <t>10.1016/S0167-2738(00)00277-0</t>
  </si>
  <si>
    <t>Li1.5Al0.5Ge1.5(PO4)3</t>
  </si>
  <si>
    <t>Li4Nd3TeSbO12</t>
  </si>
  <si>
    <t>10.1021/cm703677q</t>
  </si>
  <si>
    <t>"(Li2O)50 (LiF)20 (P2O5)30"</t>
  </si>
  <si>
    <t>10.1134/S1023193509050048</t>
  </si>
  <si>
    <t>Li6.75La3Zr1.75Ta0.25O12</t>
  </si>
  <si>
    <t>10.1016/j.jpowsour.2012.01.131</t>
  </si>
  <si>
    <t>"(Li2S)50 (P2S5)17 (LiBH4)33"</t>
  </si>
  <si>
    <t>10.1016/j.jpowsour.2012.12.001</t>
  </si>
  <si>
    <t>Li1.3Al0.1Sc0.2Ti1.7(PO4)3</t>
  </si>
  <si>
    <t>10.1007/s10008-012-1780-x</t>
  </si>
  <si>
    <t>Li1.3Al0.2Sc0.1Ti1.7(PO4)3</t>
  </si>
  <si>
    <t>Li1.15Fe0.15Ti1.85(PO4)3</t>
  </si>
  <si>
    <t>10.1007/s11164-013-1348-0</t>
  </si>
  <si>
    <t>Li0.2Zr1.2Nb0.8(PO4)3</t>
  </si>
  <si>
    <t>Li1.6Ga0.6Ti1.4(PO4)3</t>
  </si>
  <si>
    <t>10.1016/0167-2738(86)90176-1</t>
  </si>
  <si>
    <t>Li1.2Sc0.2Ti1.8(PO4)3</t>
  </si>
  <si>
    <t>10.1016/0167-2738(86)90179-7</t>
  </si>
  <si>
    <t>Li1.8Sc0.8Ti1.2(PO4)3</t>
  </si>
  <si>
    <t>Li1.3Sc0.3Ti1.7(PO4)3</t>
  </si>
  <si>
    <t>Li1.1Sc0.1Ti1.9(PO4)3</t>
  </si>
  <si>
    <t>Li1.2Sc0.2Ti1.6Zr0.2(PO4)3</t>
  </si>
  <si>
    <t>Li1.3In0.3Hf1.7(PO4)3</t>
  </si>
  <si>
    <t>LiTi0.2Zr1.8(PO4)3</t>
  </si>
  <si>
    <t>Li1.2Sc0.2Ti0.2Zr1.5(PO4)3</t>
  </si>
  <si>
    <t>LiTi1.8Zr0.2(PO4)3</t>
  </si>
  <si>
    <t>LiTi0.5Zr1.5(PO4)3</t>
  </si>
  <si>
    <t>LiTiZr(PO4)3</t>
  </si>
  <si>
    <t>LiTi0.1Zr1.9(PO4)3</t>
  </si>
  <si>
    <t>Li1.5Cr0.5Ti1.5(PO4)3</t>
  </si>
  <si>
    <t>10.1149/1.2086597</t>
  </si>
  <si>
    <t>Li1.6Cr0.6Ti1.4(PO4)3</t>
  </si>
  <si>
    <t>Li1.3Cr0.3Ti1.7 (PO4)3</t>
  </si>
  <si>
    <t>Li1.3Cr0.3Ge1.7(PO4)3</t>
  </si>
  <si>
    <t>10.1016/0167-2738(88)90368-2</t>
  </si>
  <si>
    <t>Li3Al0.4Sc1.6(PO4)3</t>
  </si>
  <si>
    <t>10.1016/0167-2738(93)90015-U</t>
  </si>
  <si>
    <t>Li1.2Fe0.2Hf1.8(PO4)3</t>
  </si>
  <si>
    <t>10.1016/0167-2738(93)90387-I</t>
  </si>
  <si>
    <t>Li1.2In0.2Hf1.8(PO4)3</t>
  </si>
  <si>
    <t>Li1.4In0.4Hf1.6(PO4)3</t>
  </si>
  <si>
    <t>Li1.1Fe0.1Hf1.9(PO4)3</t>
  </si>
  <si>
    <t>Li1.2Lu0.2Hf1.8(PO4)3</t>
  </si>
  <si>
    <t>Li1.2Y0.2Hf1.8(PO4)3</t>
  </si>
  <si>
    <t>Li1.1Y0.1Hf1.9(PO4)3</t>
  </si>
  <si>
    <t>Li1.2Sc0.2Hf1.8(PO4)3</t>
  </si>
  <si>
    <t>Li1.3Sc0.3Hf1.7(PO4)3</t>
  </si>
  <si>
    <t>Li1.1Lu0.1Hf1.9(PO4)3</t>
  </si>
  <si>
    <t>Li1.4Y0.4Hf1.6(PO4)3</t>
  </si>
  <si>
    <t>Li1.4Sc0.4Hf1.6(PO4)3</t>
  </si>
  <si>
    <t>Li1.3Fe0.3Hf1.7(PO4)3</t>
  </si>
  <si>
    <t>Li1.3Lu0.3Hf1.7(PO4)3</t>
  </si>
  <si>
    <t>Li1.3Y0.3Hf1.7(PO4)3</t>
  </si>
  <si>
    <t>Li1.1Sc0.1Hf1.9(PO4)3</t>
  </si>
  <si>
    <t>Li1.4Lu0.4Hf1.6(PO4)3</t>
  </si>
  <si>
    <t>Li1.1In0.1Hf1.9(PO4)3</t>
  </si>
  <si>
    <t>Li1.3Cr0.3Hf1.7(PO4)3</t>
  </si>
  <si>
    <t>Li1.2Cr0.2Hf1.8(PO4)3</t>
  </si>
  <si>
    <t>Li1.5Cr0.5Hf1.5(PO4)3</t>
  </si>
  <si>
    <t>Li1.1Cr0.1Hf1.9(PO4)3</t>
  </si>
  <si>
    <t>Li1.3Eu0.3Ti1.7(PO4)3</t>
  </si>
  <si>
    <t>10.1016/0167-2738(94)90299-2</t>
  </si>
  <si>
    <t>LiZr2(PO4)3</t>
  </si>
  <si>
    <t>10.1016/0167-2738(90)90188-W</t>
  </si>
  <si>
    <t>LiHf2(PO4)3</t>
  </si>
  <si>
    <t>10.1016/B978-0-08-021592-1.50024-6</t>
  </si>
  <si>
    <t>Li1.15Y0.15Zr1.85(PO4)3</t>
  </si>
  <si>
    <t>10.1016/j.jpowsour.2013.03.175</t>
  </si>
  <si>
    <t>Li1.02Zr1.98Y0.02(PO4)3</t>
  </si>
  <si>
    <t>10.1016/j.ssi.2003.12.037</t>
  </si>
  <si>
    <t>Li0.9Zr1.9Nb0.1(PO4)3</t>
  </si>
  <si>
    <t>Li0.98Zr1.98Nb0.02(PO4)3</t>
  </si>
  <si>
    <t>Li1.3Al0.2Y0.1Ti1.7(PO4)3</t>
  </si>
  <si>
    <t>10.1016/j.ssi.2012.05.011</t>
  </si>
  <si>
    <t>Li1.3Al0.1Y0.2Ti1.7(PO4)3</t>
  </si>
  <si>
    <t>Li1.3Al0.15Y0.15Ti1.7(PO4)3</t>
  </si>
  <si>
    <t>Li1.4Al0.4Ge0.2Ti1.4(PO4)3</t>
  </si>
  <si>
    <t>10.1016/j.ssi.2013.09.022</t>
  </si>
  <si>
    <t>Li1.4Al0.4Ge1.2Ti0.4(PO4)3</t>
  </si>
  <si>
    <t>Li1.4Al0.4Ge1.6(PO4)3</t>
  </si>
  <si>
    <t>Li2InTi(PO4)3</t>
  </si>
  <si>
    <t>10.1016/S0167-2738(96)00565-6</t>
  </si>
  <si>
    <t>Li2CrZr(PO4)3</t>
  </si>
  <si>
    <t>Li2CrTi(PO4)3</t>
  </si>
  <si>
    <t>Li2FeTi(PO4)3</t>
  </si>
  <si>
    <t>Li2FeZr(PO4)3</t>
  </si>
  <si>
    <t>Li2InZr(PO4)3</t>
  </si>
  <si>
    <t>Li2InHf(PO4)3</t>
  </si>
  <si>
    <t>Li1.7Al0.7Ge1.3(PO4)3</t>
  </si>
  <si>
    <t>10.1016/S0955-2219(99)00055-2</t>
  </si>
  <si>
    <t>Li1.6Al0.6Ge1.4(PO4)3</t>
  </si>
  <si>
    <t>Li1.3Al0.3Ge1.7(PO4)3</t>
  </si>
  <si>
    <t>Li1.7Al0.7Ti1.3(PO4)3</t>
  </si>
  <si>
    <t>Li1.1Al0.1Ti1.9(PO4)3</t>
  </si>
  <si>
    <t>Li1.1Al0.1Ge1.9(PO4)3</t>
  </si>
  <si>
    <t>Li1.5Al0.5Ti1.5(PO4)3</t>
  </si>
  <si>
    <t>10.1021/cm010528i</t>
  </si>
  <si>
    <t>Li1.05Al0.05Ti1.95(PO4)</t>
  </si>
  <si>
    <t>Li1.6Al0.6Ge0.8Ti0.6(PO4)3</t>
  </si>
  <si>
    <t>Li1.4Al0.4Ge1.0Ti0.6(PO4)3</t>
  </si>
  <si>
    <t>Li1.8Al0.8Ge0.8Ti0.4(PO4)3</t>
  </si>
  <si>
    <t>Li1.4Al0.4Ge0.8Ti0.8(PO4)3</t>
  </si>
  <si>
    <t>Li1.6Al0.6Ge1.0Ti0.4(PO4)3</t>
  </si>
  <si>
    <t>Li1.2Al0.2Ge0.8Ti(PO4)3</t>
  </si>
  <si>
    <t>Li1.2Al0.2Ge1.0Ti0.8(PO4)3</t>
  </si>
  <si>
    <t>Li1.8Al0.8Ge1.0Ti0.2(PO4)3</t>
  </si>
  <si>
    <t>10.1021/jp9085602</t>
  </si>
  <si>
    <t>Li1.2Y0.2Ti1.8(PO4)3</t>
  </si>
  <si>
    <t>Li1.4Y0.4Ti1.6(PO4)3</t>
  </si>
  <si>
    <t>10.1149/1.2096693</t>
  </si>
  <si>
    <t>Li0.7Al0.3Ti1.7(PO4)3</t>
  </si>
  <si>
    <t>Li1.3Y0.3Ti1.7(PO4)3</t>
  </si>
  <si>
    <t>Li1.2Fe0.2Ti1.8(PO4)3</t>
  </si>
  <si>
    <t>Li1.4Sc0.4Ti1.6(PO4)3</t>
  </si>
  <si>
    <t>Li1.2In0.2Ti1.8(PO4)3</t>
  </si>
  <si>
    <t>Li1.4Fe0.4Ti1.6(PO4)3</t>
  </si>
  <si>
    <t>Li1.4In0.4Ti1.6(PO4)3</t>
  </si>
  <si>
    <t>Li1.5In0.5Ti1.5(PO4)3</t>
  </si>
  <si>
    <t>Li1.5Fe0.5Ti1.5(PO4)3</t>
  </si>
  <si>
    <t>Li1.4Cr0.4Ti1.6(PO4)3</t>
  </si>
  <si>
    <t>Li1.5Y0.5Ti1.5(PO4)3</t>
  </si>
  <si>
    <t>Li1.2Cr0.2Ti1.8(PO4)3</t>
  </si>
  <si>
    <t>Li1.2La0.2Ti1.8(PO4)3</t>
  </si>
  <si>
    <t>Li1.3La0.3Ti1.7(PO4)3</t>
  </si>
  <si>
    <t>Li1.4La0.4Ti1.6(PO4)3</t>
  </si>
  <si>
    <t>Li1.5La0.5Ti1.5(PO4)3</t>
  </si>
  <si>
    <t>LiSn2(PO4)3</t>
  </si>
  <si>
    <t>10.1149/1.2220723</t>
  </si>
  <si>
    <t>Li1.3Sc0.3Ge1.7(PO4)3</t>
  </si>
  <si>
    <t>10.1246/bcsj.65.2200</t>
  </si>
  <si>
    <t>Li1.5Ga0.5Ge1.5(PO4)3</t>
  </si>
  <si>
    <t>Li1.3Fe0.3Ge1.7(PO4)3</t>
  </si>
  <si>
    <t>Li1.5Sc0.5Ge1.5(PO4)3</t>
  </si>
  <si>
    <t>Li1.7Fe0.7Ge1.3(PO4)3</t>
  </si>
  <si>
    <t>Li1.7Ga0.7Ge1.3(PO4)3</t>
  </si>
  <si>
    <t>Li1.3In0.3Ge1.7(PO4)3</t>
  </si>
  <si>
    <t>Li1.5In0.5Ge1.5(PO4)3</t>
  </si>
  <si>
    <t>Li1.45Al0.45Ge0.2Ti1.35(PO4)3</t>
  </si>
  <si>
    <t>10.3389/fenrg.2016.00012</t>
  </si>
  <si>
    <t>Li1.40Al0.4Ge0.2Ti1.4(PO4)3</t>
  </si>
  <si>
    <t>Li1.50Al0.50Ge0.2Ti1.3(PO4)3</t>
  </si>
  <si>
    <t>Li1.35Al0.35Ge0.2Ti1.45(PO4)3</t>
  </si>
  <si>
    <t>Li1.55Al0.55Ge0.2Ti1.25(PO4)3</t>
  </si>
  <si>
    <t>Li1.45Al0.45Ti1.55(PO4)</t>
  </si>
  <si>
    <t>10.5796/electrochemistry.82.870</t>
  </si>
  <si>
    <t>Li7Ge3PS12</t>
  </si>
  <si>
    <t>10.1016/j.jssc.2016.12.001</t>
  </si>
  <si>
    <t>Li3.2PO3.1N0.7</t>
  </si>
  <si>
    <t>10.1016/j.ssi.2005.10.021</t>
  </si>
  <si>
    <t>LISICON</t>
  </si>
  <si>
    <t>Li4P2S6</t>
  </si>
  <si>
    <t>10.1016/j.ssi.2015.10.015</t>
  </si>
  <si>
    <t>Li3OBr</t>
  </si>
  <si>
    <t>10.1016/j.ssi.2015.11.027</t>
  </si>
  <si>
    <t>Li1.6Al0.6Ge1.4 (PO4)3</t>
  </si>
  <si>
    <t>Glass-Ceramic</t>
  </si>
  <si>
    <t>Li6.25PS5.25Cl0.75</t>
  </si>
  <si>
    <t>10.1016/j.apsusc.2019.07.041</t>
  </si>
  <si>
    <t>Li6PS5Br</t>
  </si>
  <si>
    <t>10.1021/acsaem.8b00280</t>
  </si>
  <si>
    <t>Li6PS5I</t>
  </si>
  <si>
    <t>10.1007/s10008-011-1572-8</t>
  </si>
  <si>
    <t>Li5PS4(BH4)2</t>
  </si>
  <si>
    <t>10.1021/acsomega.8b00377</t>
  </si>
  <si>
    <t>Li0.245La0.592Ti0.98Mn0.02O3</t>
  </si>
  <si>
    <t>10.1006/jssc.1998.7904</t>
  </si>
  <si>
    <t>La0.55Li0.36Ti0.995Al0.005O3</t>
  </si>
  <si>
    <t>La0.54Li0.36TiO3</t>
  </si>
  <si>
    <t>La0.51Li0.36Ti0.95W0.05O3</t>
  </si>
  <si>
    <t>La0.56Li0.36Ti0.95Al0.05O3</t>
  </si>
  <si>
    <t>La0.55Li0.36Ti0.95Ge0.05O3</t>
  </si>
  <si>
    <t>La0.58Li0.36Ti0.95Mg0.05O3</t>
  </si>
  <si>
    <t>La0.55Li0.36Ti0.95Mn0.05O3</t>
  </si>
  <si>
    <t>log_Ionic_Conductivity</t>
  </si>
  <si>
    <t>Ionic_Conductivity</t>
  </si>
  <si>
    <t>Residue_Square</t>
  </si>
  <si>
    <t>Target_Square</t>
  </si>
  <si>
    <t>R2</t>
  </si>
  <si>
    <t>RMSE</t>
  </si>
  <si>
    <t>(La0.5Li0.5)TiO3</t>
  </si>
  <si>
    <t>10.1016/0167-2738(94)90309-3</t>
  </si>
  <si>
    <t>Sm0.52Li0.38TiO2.97</t>
  </si>
  <si>
    <t>10.1016/0167-2738(94)90310-7</t>
  </si>
  <si>
    <t>Li0.34Pr0.56TiO3</t>
  </si>
  <si>
    <t>Nd0.55Li0.34TiO3</t>
  </si>
  <si>
    <t>Li0.5(La0.4Nd0.1)TiO3</t>
  </si>
  <si>
    <t>10.1016/S0167-2738(97)00015-5</t>
  </si>
  <si>
    <t>Li0.34La0.56TiO3</t>
  </si>
  <si>
    <t>10.1016/S0167-2738(98)00070-8</t>
  </si>
  <si>
    <t>Nd0.25Li0.25TaO3</t>
  </si>
  <si>
    <t>10.1016/S0167-2738(98)00414-7</t>
  </si>
  <si>
    <t>Li0.25La0.25TaO3</t>
  </si>
  <si>
    <t>Li0.5Sr0.5Cr0.25Ta0.75O3</t>
  </si>
  <si>
    <t>10.1016/S0378-7753(97)02645-1</t>
  </si>
  <si>
    <t>Li0.5Sr0.5Fe0.25Ta0.75O3</t>
  </si>
  <si>
    <t xml:space="preserve"> La0.29Li0.12NbO3</t>
  </si>
  <si>
    <t>10.1016/S0167-2738(98)00266-5</t>
  </si>
  <si>
    <t>Other</t>
  </si>
  <si>
    <t>La0.283Li0.15NbO3</t>
  </si>
  <si>
    <t>La0.273Li0.18NbO3</t>
  </si>
  <si>
    <t>La0.303Li0.09NbO3</t>
  </si>
  <si>
    <t>La0.313Li0.06NbO3</t>
  </si>
  <si>
    <t>Li0.1Sr0.8Ti0.7Nb0.3O3</t>
  </si>
  <si>
    <t>10.1149/1.1629102</t>
  </si>
  <si>
    <t>Li0.3Sr0.6Ti0.20Fe0.30Ta0.5O3</t>
  </si>
  <si>
    <t>Li0.3Sr0.6Ti0.35Fe0.15Ta0.5O3</t>
  </si>
  <si>
    <t>Li0.3Sr0.6Ti0.40Fe0.10Ta0.5O3</t>
  </si>
  <si>
    <t>Li0.25La0.41Sr0.25TiO3</t>
  </si>
  <si>
    <t>10.1021/cm020609u</t>
  </si>
  <si>
    <t>Li0.15La0.51Sr0.15TiO3</t>
  </si>
  <si>
    <t>LiSrTiTaO6</t>
  </si>
  <si>
    <t>10.1021/cm9810382</t>
  </si>
  <si>
    <t>LiSr1.65Ti1.3Ta1.7O9</t>
  </si>
  <si>
    <t>LiSr1.65Ti1.3Nb1.7O9</t>
  </si>
  <si>
    <t>LiSr1.65Zr1.3Ta1.7O9</t>
  </si>
  <si>
    <t>LiSr2Ti2NbO9</t>
  </si>
  <si>
    <t>LiSrTiNbO6</t>
  </si>
  <si>
    <t>Li0.25La0.66Ti0.75Al0.25O3</t>
  </si>
  <si>
    <t>10.1021/cm011149s</t>
  </si>
  <si>
    <t>Li0.20La0.66Ti0.80Al0.20O3</t>
  </si>
  <si>
    <t>Li0.30La0.66Ti0.70Al0.30O3</t>
  </si>
  <si>
    <t>Li0.15La0.66Ti0.85Al0.15O3</t>
  </si>
  <si>
    <t>Li0.27La0.59TiO3</t>
  </si>
  <si>
    <t>10.2109/jcersj.105.548</t>
  </si>
  <si>
    <t>Li10SnP2S12</t>
  </si>
  <si>
    <t>10.1021/ja407393y</t>
  </si>
  <si>
    <t>10.1038/nmat3066</t>
  </si>
  <si>
    <t>Li1.5Hf1.5Al0.5P3O12</t>
  </si>
  <si>
    <t>10.1016/j.ssi.2005.07.010</t>
  </si>
  <si>
    <t>"(Li2S)70 (P2S5)30"</t>
  </si>
  <si>
    <t>Li11AlP2S12</t>
  </si>
  <si>
    <t>10.1039/C6CC02131J</t>
  </si>
  <si>
    <t>Li6BaLa2Ta2O12</t>
  </si>
  <si>
    <t>Li5NI2</t>
  </si>
  <si>
    <t>10.1002/anie.198000741</t>
  </si>
  <si>
    <t>Halides</t>
  </si>
  <si>
    <t>Li6NBr3</t>
  </si>
  <si>
    <t>Rocksalt</t>
  </si>
  <si>
    <t>Li4SiO4</t>
  </si>
  <si>
    <t>10.1016/0025-5408(76)90235-X</t>
  </si>
  <si>
    <t>Li4GeO4</t>
  </si>
  <si>
    <t>Li2Ge7O15</t>
  </si>
  <si>
    <t>Li3.5Ge0.5V0.5O4</t>
  </si>
  <si>
    <t>10.1016/0025-5408(80)90249-4</t>
  </si>
  <si>
    <t>LiI</t>
  </si>
  <si>
    <t>10.1016/0167-2738(81)90020-5</t>
  </si>
  <si>
    <t>Li3P</t>
  </si>
  <si>
    <t>10.1016/0167-2738(89)90438-4</t>
  </si>
  <si>
    <t>Li3Sc2P3O12</t>
  </si>
  <si>
    <t>10.1016/j.materresbull.2007.08.007</t>
  </si>
  <si>
    <t>Li5La3Bi2O12</t>
  </si>
  <si>
    <t>10.1016/j.ssi.2017.03.030</t>
  </si>
  <si>
    <t>LiLa(TiO3)2</t>
  </si>
  <si>
    <t>10.1016/S0167-2738(00)00761-X</t>
  </si>
  <si>
    <t>Li3VO4</t>
  </si>
  <si>
    <t>10.1016/S0924-0136(01)01044-5</t>
  </si>
  <si>
    <t>10.1021/acs.chemmater.7b04842</t>
  </si>
  <si>
    <t>Li4BN3H10</t>
  </si>
  <si>
    <t>10.1021/Ja907249p</t>
  </si>
  <si>
    <t>Li2NH</t>
  </si>
  <si>
    <t>10.1039/c2cp23636b</t>
  </si>
  <si>
    <t>Li2Ca(NH)2</t>
  </si>
  <si>
    <t>Li3N</t>
  </si>
  <si>
    <t>10.1039/C0EE00052C</t>
  </si>
  <si>
    <t>Li13.6Si2.8S1.2O16</t>
  </si>
  <si>
    <t>10.1016/0013-4686(77)80035-2</t>
  </si>
  <si>
    <t>LiAlH4</t>
  </si>
  <si>
    <t>10.1063/1.3356981</t>
  </si>
  <si>
    <t>Li4B7O12Cl</t>
  </si>
  <si>
    <t>10.1107/S0567740877009443</t>
  </si>
  <si>
    <t>Li10.35Si1.35P1.65S12</t>
  </si>
  <si>
    <t>10.1107/S2052520615022283</t>
  </si>
  <si>
    <t>Li9.81Sn0.81P2.19S12</t>
  </si>
  <si>
    <t>Li14ZnGe4O16</t>
  </si>
  <si>
    <t>10.1149/1.2119778</t>
  </si>
  <si>
    <t>Li2.88PO3.73N0.14</t>
  </si>
  <si>
    <t>10.1006/jssc.1995.1140</t>
  </si>
  <si>
    <t>Li6.35P0.65Si0.35S5Br</t>
  </si>
  <si>
    <t>10.1039/c7ta08581h</t>
  </si>
  <si>
    <t>Li6.50P0.50Si0.50S5Br</t>
  </si>
  <si>
    <t>Li6.20P0.80Si0.20S5Br</t>
  </si>
  <si>
    <t>Li6.30P0.70Si0.30S5Br</t>
  </si>
  <si>
    <t>Li6.25P0.75Si0.25S5Br</t>
  </si>
  <si>
    <t>Li6.12P0.90Si0.12S5Br</t>
  </si>
  <si>
    <t>Li6.22P0.78Si0.22S5Br</t>
  </si>
  <si>
    <t>Li6.17P0.83Si0.17S5Br</t>
  </si>
  <si>
    <t>Li6.13P0.87Si0.13S5Br</t>
  </si>
  <si>
    <t>Li6.08P0.92Si0.08S5Br</t>
  </si>
  <si>
    <t>Li6.02P0.98Si0.02S5 Br</t>
  </si>
  <si>
    <t>Li6.10P0.90Si0.10S5Br</t>
  </si>
  <si>
    <t>Li6.05P0.95Si0.05S5Br</t>
  </si>
  <si>
    <t>Li3.6Si0.6P0.4S4</t>
  </si>
  <si>
    <t>10.1006/jssc.2002.9701</t>
  </si>
  <si>
    <t>Li4SiS4</t>
  </si>
  <si>
    <t>10.1016/0025-5408(89)90053-6</t>
  </si>
  <si>
    <t>Li2SiS3</t>
  </si>
  <si>
    <t xml:space="preserve">Li6.75La3Zr1.75Nb0.25O12 </t>
  </si>
  <si>
    <t>10.1016/j.jpowsour.2010.11.089</t>
  </si>
  <si>
    <t xml:space="preserve">Li7La3Zr1.89Al0.15O12 </t>
  </si>
  <si>
    <t>10.1016/j.jpowsour.2013.03.049</t>
  </si>
  <si>
    <t>Li10Ge0.95Si0.05P2S12</t>
  </si>
  <si>
    <t>10.1016/j.jpowsour.2014.07.159</t>
  </si>
  <si>
    <t xml:space="preserve">Li5.5La3Nb1.75In0.25O12 </t>
  </si>
  <si>
    <t>10.1016/j.jssc.2005.12.025</t>
  </si>
  <si>
    <t xml:space="preserve">Li5.5La2.75K0.25Nb2O12 </t>
  </si>
  <si>
    <t>Li6.25La3Zr2Ga0.25O12</t>
  </si>
  <si>
    <t>10.1016/j.matchemphys.2012.03.054</t>
  </si>
  <si>
    <t>10.1016/j.ssi.2006.04.017</t>
  </si>
  <si>
    <t>Li4GeS4</t>
  </si>
  <si>
    <t>10.1021/acs.chemmater.6b04175</t>
  </si>
  <si>
    <t>Li4PS4I</t>
  </si>
  <si>
    <t>10.1021/acs.chemmater.7b00013</t>
  </si>
  <si>
    <t>Li4SnS4</t>
  </si>
  <si>
    <t>10.1021/cm3011315</t>
  </si>
  <si>
    <t>Li2SnS3</t>
  </si>
  <si>
    <t>10.1021/cm5037524</t>
  </si>
  <si>
    <t>Li3PS4</t>
  </si>
  <si>
    <t>10.1021/ja3110895</t>
  </si>
  <si>
    <t xml:space="preserve">Li6.5La3Nb1.25Y0.75O12 </t>
  </si>
  <si>
    <t xml:space="preserve">Li6.5La3Zr1.5Ta0.5O12 </t>
  </si>
  <si>
    <t>10.1039/C2JM31413D</t>
  </si>
  <si>
    <t xml:space="preserve">Li6.6La3Zr1.6Ta0.4O12 </t>
  </si>
  <si>
    <t xml:space="preserve">Li6.2La3Zr1.2Ta0.8O12 </t>
  </si>
  <si>
    <t xml:space="preserve">Li6.8La3Zr1.8Ta0.2O12 </t>
  </si>
  <si>
    <t xml:space="preserve">Li6La3ZrTaO12 </t>
  </si>
  <si>
    <t xml:space="preserve">Li6.2La3Zr1.2Sb0.8O12 </t>
  </si>
  <si>
    <t>10.1039/C3CP50991E</t>
  </si>
  <si>
    <t xml:space="preserve">Li5La3Ta2O12 </t>
  </si>
  <si>
    <t>10.1111/j.1151-2916.2003.tb03318.x</t>
  </si>
  <si>
    <t>10.1149/1.1379028</t>
  </si>
  <si>
    <t xml:space="preserve">Li6.75La3Zr1.75Ta0.25O12 </t>
  </si>
  <si>
    <t>10.1149/2.024205esl</t>
  </si>
  <si>
    <t>Li5.4La3Nb1.8Y0.75O12</t>
  </si>
  <si>
    <t>"(Li2O)50 (Al2O5)5 (P2O5)45"</t>
  </si>
  <si>
    <t>"(Li2O)50 (P2O5)50"</t>
  </si>
  <si>
    <t>Li3.9Zn0.05GeS4</t>
  </si>
  <si>
    <t>Li1.6Ti1.7Mg0.3P3O12</t>
  </si>
  <si>
    <t>Li4.275Ge0.61Ga0.25S4</t>
  </si>
  <si>
    <t>Li1.4Ti1.6In0.4P3O12</t>
  </si>
  <si>
    <t>Li1.8Cr0.8Ti1.2(PO4)3</t>
  </si>
  <si>
    <t>10.1016/0167-2738(88)90291-3</t>
  </si>
  <si>
    <t>"((Li2S)0.6 (SiS2)0.4 )95 (Li4SiO4)5"</t>
  </si>
  <si>
    <t>10.1149/1.1392498</t>
  </si>
  <si>
    <t>Li6La2Ca(Nb)2O12</t>
  </si>
  <si>
    <t>10.1149/1.3122903</t>
  </si>
  <si>
    <t>Li5AlS4</t>
  </si>
  <si>
    <t>10.1016/j.jssc.2017.09.018</t>
  </si>
  <si>
    <t>LiMgPO4</t>
  </si>
  <si>
    <t>10.1021/cm504518q</t>
  </si>
  <si>
    <t>Olivine</t>
  </si>
  <si>
    <t>Li0.95Mg0.95In0.05PO4</t>
  </si>
  <si>
    <t>Li0.9Mg0.9In0.1PO4</t>
  </si>
  <si>
    <t>Li0.85Mg0.85In0.15PO4</t>
  </si>
  <si>
    <t>Li0.83Mg0.83In0.17PO4</t>
  </si>
  <si>
    <t>Li3AlS3</t>
  </si>
  <si>
    <t>10.1021/acs.chemmater.9b03230</t>
  </si>
  <si>
    <t>Li6SiO4Cl2</t>
  </si>
  <si>
    <t>10.1021/acs.chemmater.1c00157</t>
  </si>
  <si>
    <t>LiTa2PO8</t>
  </si>
  <si>
    <t>10.1039/C8TA09170F</t>
  </si>
  <si>
    <t>(YPO4)0.8(Li3PO4)0.2</t>
  </si>
  <si>
    <t>10.1016/0167-2738(89)90457-8</t>
  </si>
  <si>
    <t>Zircon</t>
  </si>
  <si>
    <t xml:space="preserve"> Li0.8La0.066Zr2(PO4)3</t>
  </si>
  <si>
    <t>10.1007/s11581-009-0332-6</t>
  </si>
  <si>
    <t>Li3.09BO2.53N0.52</t>
  </si>
  <si>
    <t>10.1016/j.jpowsour.2008.09.089</t>
  </si>
  <si>
    <t>Li5Nd3Sb2O12</t>
  </si>
  <si>
    <t>10.1016/j.ssi.2008.01.002</t>
  </si>
  <si>
    <t>Li5La3Sb2O12</t>
  </si>
  <si>
    <t>LiAlSi2O6</t>
  </si>
  <si>
    <t>10.1016/j.ssi.2009.02.028</t>
  </si>
  <si>
    <t>"(Li2O)16.6 (SiO2)83.4"</t>
  </si>
  <si>
    <t>10.1016/S0022-3093(99)00688-2</t>
  </si>
  <si>
    <t>Li3Fe2P3O12</t>
  </si>
  <si>
    <t>10.1016/0167-2738(90)90442-T</t>
  </si>
  <si>
    <t>Li2.9Sc1.9Zr0.1(PO4)3</t>
  </si>
  <si>
    <t>10.1016/S0925-8388(96)02746-6</t>
  </si>
  <si>
    <t>Li1.9Mg0.1TiO3.05</t>
  </si>
  <si>
    <t>10.1016/j.ssi.2008.03.001</t>
  </si>
  <si>
    <t>(YPO4)0.9(Li3PO4)0.1</t>
  </si>
  <si>
    <t>(YPO4)0.7(Li3PO4)0.3</t>
  </si>
  <si>
    <t>(YPO4)0.5(Li3PO4)0.5</t>
  </si>
  <si>
    <t>LiGaSiO4</t>
  </si>
  <si>
    <t>10.1016/0167-2738(87)90048-8</t>
  </si>
  <si>
    <t>Phenakite</t>
  </si>
  <si>
    <t>Li0.68Ga0.68Si2.33O6</t>
  </si>
  <si>
    <t>Li0.96Ga0.96Si2.04O6</t>
  </si>
  <si>
    <t>Li4Al0.33Si0.33P0.33O4</t>
  </si>
  <si>
    <t>10.1021/acsami.6b14402</t>
  </si>
  <si>
    <t>Li4Al0.33Si0.17Ge0.17P0.33O4</t>
  </si>
  <si>
    <t>Li4.25Si0.75Al0.25O4</t>
  </si>
  <si>
    <t>Li3.75Si0.75P0.25O4</t>
  </si>
  <si>
    <t>LiCaTiNbO6</t>
  </si>
  <si>
    <t>Li3Cr(MoO4)3</t>
  </si>
  <si>
    <t>10.1039/B301189e</t>
  </si>
  <si>
    <t>Li2Mg2(MoO4)3</t>
  </si>
  <si>
    <t>Lysonite</t>
  </si>
  <si>
    <t>Li3Fe(MoO4)3</t>
  </si>
  <si>
    <t>Li6FeCl8</t>
  </si>
  <si>
    <t>10.1002/zaac.19875531020</t>
  </si>
  <si>
    <t>Li4.8Si0.2Al0.8S4</t>
  </si>
  <si>
    <t>Li3.6Ge0.4P0.6S4</t>
  </si>
  <si>
    <t>Li3.35Ge0.35P0.65S4</t>
  </si>
  <si>
    <t>Li6NiCl8</t>
  </si>
  <si>
    <t>Li6CoCl8</t>
  </si>
  <si>
    <t>LiF</t>
  </si>
  <si>
    <t>Journal De Physique 26 339-341, 1965</t>
  </si>
  <si>
    <t>Li6PS5Cl</t>
  </si>
  <si>
    <t>10.1016/j.ssi.2012.06.008</t>
  </si>
  <si>
    <t>Li2.4OH0.6Cl</t>
  </si>
  <si>
    <t>Li2.1OH0.9Cl</t>
  </si>
  <si>
    <t>Li2OHCl</t>
  </si>
  <si>
    <t>Li2.7OH0.3Cl</t>
  </si>
  <si>
    <t>"(Li2S)0.75 (P2S5)0.25"</t>
  </si>
  <si>
    <t>10.1016/j.jpowsour.2009.11.037</t>
  </si>
  <si>
    <t>La0.57Li0.29TiO3</t>
  </si>
  <si>
    <t>10.1016/j.jpowsour.2012.11.098</t>
  </si>
  <si>
    <t>Li6.5La2.9Ba0.1Zr1.4Ta0.6O12</t>
  </si>
  <si>
    <t>10.3389/fenrg.2016.00028</t>
  </si>
  <si>
    <t>Li6.5La3Zr1.5Ta0.5O12</t>
  </si>
  <si>
    <t>Li3.4Si0.4P0.6S4</t>
  </si>
  <si>
    <t>Li6CaLa2Ta2O12</t>
  </si>
  <si>
    <t>Li3.2Ge0.2P0.8S4</t>
  </si>
  <si>
    <t>"(Li2O)50((SeO2)0.5 (B2O3)0.5)50"</t>
  </si>
  <si>
    <t>10.1016/S0167-2738(02)00137-6</t>
  </si>
  <si>
    <t>LiBH4</t>
  </si>
  <si>
    <t>Li0.34La0.51TiO2.94</t>
  </si>
  <si>
    <t>10.1016/0038-1098(93)90841-A</t>
  </si>
  <si>
    <t>Li0.10La0.63TiO3</t>
  </si>
  <si>
    <t>(La0.5Li0.5)0.75(La0.5Na0.5)0.25TiO3</t>
  </si>
  <si>
    <t>Li0.067La0.64TiO2.99</t>
  </si>
  <si>
    <t>Li0.10La0.66Ti0.90Al0.10O3</t>
  </si>
  <si>
    <t>Li0.06La0.66Ti0.93Al0.06O3</t>
  </si>
  <si>
    <t xml:space="preserve">Li7La3Zr2O12 </t>
  </si>
  <si>
    <t>Li7La3Hf2O12</t>
  </si>
  <si>
    <t>10.1016/j.jssc.2009.10.030</t>
  </si>
  <si>
    <t>Li6.6La2.75Y0.25Zr1.6Ta0.4O12</t>
  </si>
  <si>
    <t>10.1021/am503731h</t>
  </si>
  <si>
    <t xml:space="preserve">Li6.6La2.875Y0.125Zr1.6Ta0.4O12 </t>
  </si>
  <si>
    <t xml:space="preserve">Li6.6La2.5Y0.5Zr1.6Ta0.4O12 </t>
  </si>
  <si>
    <t>Li10SiP2S12</t>
  </si>
  <si>
    <t>10.1149/2.0501412jes</t>
  </si>
  <si>
    <t>10.1149/1.2988731</t>
  </si>
  <si>
    <t>"(Li2S)0.5 ((Ga2S3)0.1 (GeS2)0.9)0.5"</t>
  </si>
  <si>
    <t>10.1016/j.ssi.2009.08.002</t>
  </si>
  <si>
    <t>10.1016/j.jpowsour.2012.02.031</t>
  </si>
  <si>
    <t>Li3O(Cl0.5Br0.5)</t>
  </si>
  <si>
    <t>10.1021/ja305709z</t>
  </si>
  <si>
    <t>Li6.5La3Zr1.75Te0.25O12</t>
  </si>
  <si>
    <t>10.1016/j.jpowsour.2013.03.166</t>
  </si>
  <si>
    <t>Li0.022 La0.117 Ti0.208 Al0.001 O0.626</t>
  </si>
  <si>
    <t>10.1007/BF02378009</t>
  </si>
  <si>
    <t>"(LiCl)0.5 (P2O5)0.5"</t>
  </si>
  <si>
    <t>10.1007/s11581-008-0276-2</t>
  </si>
  <si>
    <t>Li0.5La0.5TiO3</t>
  </si>
  <si>
    <t>10.1016/j.jallcom.2009.07.091</t>
  </si>
  <si>
    <t>Li7La3Ta2O13</t>
  </si>
  <si>
    <t>10.1016/j.ssi.2009.07.002</t>
  </si>
  <si>
    <t>Li9SiAlO8</t>
  </si>
  <si>
    <t>10.1149/1.1836980</t>
  </si>
  <si>
    <t>Li1.2Al1.1Ta0.9(PO4)3</t>
  </si>
  <si>
    <t>10.1039/A807007E</t>
  </si>
  <si>
    <t>LiAlTa(PO4)3</t>
  </si>
  <si>
    <t>LiCrSb(PO4)3</t>
  </si>
  <si>
    <t>10.1063/1.2357843</t>
  </si>
  <si>
    <t>LiAlSb(PO4)3</t>
  </si>
  <si>
    <t>LiFeSb(PO4)3</t>
  </si>
  <si>
    <t xml:space="preserve">LiFePO4 </t>
  </si>
  <si>
    <t>10.1016/j.ssi.2008.06.028</t>
  </si>
  <si>
    <t>LiTi2P3O12</t>
  </si>
  <si>
    <t>10.1016/0167-2738(94)90332-8</t>
  </si>
  <si>
    <t>LiZr2P3O12</t>
  </si>
  <si>
    <t>Li3.8Ge0.8P0.2O4</t>
  </si>
  <si>
    <t>10.1021/acs.chemmater.8b01504</t>
  </si>
  <si>
    <t>Li3PO4</t>
  </si>
  <si>
    <t>Li3.2Ge0.2P0.8O4</t>
  </si>
  <si>
    <t>Li3V0.6P0.4O4</t>
  </si>
  <si>
    <t>Li3P0.2V0.8O4</t>
  </si>
  <si>
    <t>Li3.6Ge0.6P0.4O4</t>
  </si>
  <si>
    <t>Li3.4Ge0.4P0.6O4</t>
  </si>
  <si>
    <t>Li3.2Ge0.2V0.8O4</t>
  </si>
  <si>
    <t>Li3.6Ge0.6V0.4O4</t>
  </si>
  <si>
    <t>Li3.8Ge0.8V0.2O4</t>
  </si>
  <si>
    <t>Li3.4Ge0.4V0.6O4</t>
  </si>
  <si>
    <t>Li3P0.6V0.4O4</t>
  </si>
  <si>
    <t>Li3P0.8V0.2O4</t>
  </si>
  <si>
    <t>Li0.3Sr0.6Ti0.45Fe0.05Ta0.5O3</t>
  </si>
  <si>
    <t>Li0.3Sr0.6Ti0.5Ta0.5O3</t>
  </si>
  <si>
    <t>Li0.3Sr0.6Ti0.5Nb0.5O3</t>
  </si>
  <si>
    <t>LiSr2Ti2TaO9</t>
  </si>
  <si>
    <t>LiBa2Ti2NbO9</t>
  </si>
  <si>
    <t>Li0.36La0.55TiO3</t>
  </si>
  <si>
    <t xml:space="preserve">Li6.75La3Zr1.875Te0.125O12 </t>
  </si>
  <si>
    <t>Li2.2Zn0.1Zr0.9S3</t>
  </si>
  <si>
    <t>10.1016/j.ssi.2008.01.055</t>
  </si>
  <si>
    <t>Li6.7La3Zr1.7Ta0.3O12</t>
  </si>
  <si>
    <t>10.1016/j.ceramint.2018.09.245</t>
  </si>
  <si>
    <t>Li6.6La3Zr1.6Sb0.4O12</t>
  </si>
  <si>
    <t xml:space="preserve">Li6.4La3Zr1.4Sb0.6O12 </t>
  </si>
  <si>
    <t xml:space="preserve">Li6La3ZrSbO12 </t>
  </si>
  <si>
    <t xml:space="preserve">Li6.8La3Zr1.8Sb0.2O12 </t>
  </si>
  <si>
    <t>"(Li2S)9(LaOI)"</t>
  </si>
  <si>
    <t>10.1016/j.ssi.2008.01.072</t>
  </si>
  <si>
    <t>"(AgI)0.5(LiPO3)0.5"</t>
  </si>
  <si>
    <t>10.1016/j.ssi.2008.04.015</t>
  </si>
  <si>
    <t>"(Li2S)2(LaOI)5"</t>
  </si>
  <si>
    <t>"(Li2S)(LaOI)"</t>
  </si>
  <si>
    <t>"(Li2S)7(LaOI)3"</t>
  </si>
  <si>
    <t>Li4.4Al0.4Ge0.6S4</t>
  </si>
  <si>
    <t>10.1021/acs.chemmater.8b03175</t>
  </si>
  <si>
    <t>Li4.4Al0.4Sn0.6S4</t>
  </si>
  <si>
    <t>Li4.4Ga0.4Ge0.6S4</t>
  </si>
  <si>
    <t>Li4.4Ga0.4Sn0.6S4</t>
  </si>
  <si>
    <t>Li0.022 La0.118 Ti0.2 Al0.004 O0.631</t>
  </si>
  <si>
    <t>Li2ZrS3</t>
  </si>
  <si>
    <t>Li0.022 La0.115 Ti0.165 Al0.055 O0.618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</si>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</sst>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64AC9-9E3A-4738-8BC2-BDDE8DAD79F5}">
  <dimension ref="A1:T443"/>
  <sheetViews>
    <sheetView tabSelected="1" zoomScale="78" workbookViewId="0">
      <selection activeCell="K2" sqref="K2"/>
    </sheetView>
  </sheetViews>
  <sheetFormatPr defaultRowHeight="14.4" x14ac:dyDescent="0.3"/>
  <cols>
    <col min="9" max="9" width="15" customWidth="1"/>
    <col min="10" max="10" width="18.441406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284</v>
      </c>
      <c r="J1" t="s">
        <v>285</v>
      </c>
      <c r="K1" t="s">
        <v>286</v>
      </c>
      <c r="L1" t="s">
        <v>287</v>
      </c>
    </row>
    <row r="2" spans="1:20" x14ac:dyDescent="0.3">
      <c r="A2">
        <v>289</v>
      </c>
      <c r="B2" t="s">
        <v>8</v>
      </c>
      <c r="C2" t="s">
        <v>9</v>
      </c>
      <c r="D2">
        <v>293.14999999999998</v>
      </c>
      <c r="E2" s="1">
        <v>8.0800000000000006E-6</v>
      </c>
      <c r="F2">
        <v>-5.0925886389999997</v>
      </c>
      <c r="G2" t="s">
        <v>10</v>
      </c>
      <c r="H2" t="s">
        <v>11</v>
      </c>
      <c r="I2">
        <f ca="1">F2*SQRT(0.862321) + RAND()*SQRT(1-0.862321)*M2</f>
        <v>-4.4172325168941615</v>
      </c>
      <c r="J2">
        <f ca="1">POWER(10,I2)</f>
        <v>3.8261983765973196E-5</v>
      </c>
      <c r="K2">
        <f ca="1">(F2-I2)^2</f>
        <v>0.45610589166583582</v>
      </c>
      <c r="L2">
        <f>(F2+5.03559)^2</f>
        <v>3.2488448478522852E-3</v>
      </c>
      <c r="M2">
        <f>_xlfn.STDEV.P(F2:F443)</f>
        <v>2.2567085658263988</v>
      </c>
    </row>
    <row r="3" spans="1:20" x14ac:dyDescent="0.3">
      <c r="A3">
        <v>169</v>
      </c>
      <c r="B3" t="s">
        <v>12</v>
      </c>
      <c r="C3" t="s">
        <v>13</v>
      </c>
      <c r="D3">
        <v>294.14999999999998</v>
      </c>
      <c r="E3" s="1">
        <v>6.7599999999999995E-4</v>
      </c>
      <c r="F3">
        <v>-3.1700533040000001</v>
      </c>
      <c r="G3" t="s">
        <v>14</v>
      </c>
      <c r="H3" t="s">
        <v>11</v>
      </c>
      <c r="I3">
        <f t="shared" ref="I3:I66" ca="1" si="0">F3*SQRT(0.862321) + RAND()*SQRT(1-0.862321)*M3</f>
        <v>-2.5601339076729683</v>
      </c>
      <c r="J3">
        <f t="shared" ref="J3:J66" ca="1" si="1">POWER(10,I3)</f>
        <v>2.7533796124124552E-3</v>
      </c>
      <c r="K3">
        <f t="shared" ref="K3:K66" ca="1" si="2">(F3-I3)^2</f>
        <v>0.37200167001593082</v>
      </c>
      <c r="L3">
        <f t="shared" ref="L3:L66" si="3">(F3+5.03559)^2</f>
        <v>3.4802271641225961</v>
      </c>
      <c r="M3">
        <v>2.2567085658263988</v>
      </c>
    </row>
    <row r="4" spans="1:20" x14ac:dyDescent="0.3">
      <c r="A4">
        <v>172</v>
      </c>
      <c r="B4" t="s">
        <v>15</v>
      </c>
      <c r="C4" t="s">
        <v>16</v>
      </c>
      <c r="D4">
        <v>294.14999999999998</v>
      </c>
      <c r="E4" s="1">
        <v>9.1699999999999995E-4</v>
      </c>
      <c r="F4">
        <v>-3.0376306639999999</v>
      </c>
      <c r="G4" t="s">
        <v>14</v>
      </c>
      <c r="H4" t="s">
        <v>11</v>
      </c>
      <c r="I4">
        <f t="shared" ca="1" si="0"/>
        <v>-2.1612530255598479</v>
      </c>
      <c r="J4">
        <f t="shared" ca="1" si="1"/>
        <v>6.8983777836266417E-3</v>
      </c>
      <c r="K4">
        <f t="shared" ca="1" si="2"/>
        <v>0.76803776515793787</v>
      </c>
      <c r="L4">
        <f t="shared" si="3"/>
        <v>3.9918415083095611</v>
      </c>
      <c r="M4">
        <v>2.2567085658263988</v>
      </c>
      <c r="S4" t="s">
        <v>288</v>
      </c>
      <c r="T4">
        <f ca="1">1 - SUM(K2:K443)/SUM(L2:L443)</f>
        <v>0.86329542226940514</v>
      </c>
    </row>
    <row r="5" spans="1:20" x14ac:dyDescent="0.3">
      <c r="A5">
        <v>189</v>
      </c>
      <c r="B5" t="s">
        <v>17</v>
      </c>
      <c r="C5" t="s">
        <v>18</v>
      </c>
      <c r="D5">
        <v>294.14999999999998</v>
      </c>
      <c r="E5" s="1">
        <v>2.8700000000000001E-6</v>
      </c>
      <c r="F5">
        <v>-5.542118103</v>
      </c>
      <c r="G5" t="s">
        <v>19</v>
      </c>
      <c r="H5" t="s">
        <v>20</v>
      </c>
      <c r="I5">
        <f t="shared" ca="1" si="0"/>
        <v>-5.076436974534416</v>
      </c>
      <c r="J5">
        <f t="shared" ca="1" si="1"/>
        <v>8.3861577096804225E-6</v>
      </c>
      <c r="K5">
        <f t="shared" ca="1" si="2"/>
        <v>0.2168589134089797</v>
      </c>
      <c r="L5">
        <f t="shared" si="3"/>
        <v>0.25657071912877855</v>
      </c>
      <c r="M5">
        <v>2.2567085658263988</v>
      </c>
      <c r="S5" t="s">
        <v>289</v>
      </c>
      <c r="T5">
        <f ca="1">SQRT(SUM(K2:K443)/COUNT(K2:K443))</f>
        <v>0.8343859955651296</v>
      </c>
    </row>
    <row r="6" spans="1:20" x14ac:dyDescent="0.3">
      <c r="A6">
        <v>248</v>
      </c>
      <c r="B6" t="s">
        <v>21</v>
      </c>
      <c r="C6" t="s">
        <v>22</v>
      </c>
      <c r="D6">
        <v>294.14999999999998</v>
      </c>
      <c r="E6" s="1">
        <v>8.25E-4</v>
      </c>
      <c r="F6">
        <v>-3.0835460509999999</v>
      </c>
      <c r="G6" t="s">
        <v>14</v>
      </c>
      <c r="H6" t="s">
        <v>11</v>
      </c>
      <c r="I6">
        <f t="shared" ca="1" si="0"/>
        <v>-2.1896398207633392</v>
      </c>
      <c r="J6">
        <f t="shared" ca="1" si="1"/>
        <v>6.4618992017542029E-3</v>
      </c>
      <c r="K6">
        <f t="shared" ca="1" si="2"/>
        <v>0.7990683484559179</v>
      </c>
      <c r="L6">
        <f t="shared" si="3"/>
        <v>3.8104755788275151</v>
      </c>
      <c r="M6">
        <v>2.2567085658263988</v>
      </c>
      <c r="S6" t="s">
        <v>628</v>
      </c>
      <c r="T6">
        <f>SUM(F2:F443)/COUNT(F2:F443)</f>
        <v>-5.0355929429366499</v>
      </c>
    </row>
    <row r="7" spans="1:20" x14ac:dyDescent="0.3">
      <c r="A7">
        <v>891</v>
      </c>
      <c r="B7" t="s">
        <v>23</v>
      </c>
      <c r="C7" t="s">
        <v>9</v>
      </c>
      <c r="D7">
        <v>294.25</v>
      </c>
      <c r="E7" s="1">
        <v>1.92E-7</v>
      </c>
      <c r="F7">
        <v>-6.7166987709999999</v>
      </c>
      <c r="G7" t="s">
        <v>10</v>
      </c>
      <c r="H7" t="s">
        <v>11</v>
      </c>
      <c r="I7">
        <f t="shared" ca="1" si="0"/>
        <v>-6.0375022560955385</v>
      </c>
      <c r="J7">
        <f t="shared" ca="1" si="1"/>
        <v>9.1727117028946961E-7</v>
      </c>
      <c r="K7">
        <f t="shared" ca="1" si="2"/>
        <v>0.46130790585836629</v>
      </c>
      <c r="L7">
        <f t="shared" si="3"/>
        <v>2.82612669993313</v>
      </c>
      <c r="M7">
        <v>2.2567085658263988</v>
      </c>
      <c r="T7">
        <f>_xlfn.STDEV.P(F2:F443)</f>
        <v>2.2567085658263988</v>
      </c>
    </row>
    <row r="8" spans="1:20" x14ac:dyDescent="0.3">
      <c r="A8">
        <v>250</v>
      </c>
      <c r="B8" t="s">
        <v>24</v>
      </c>
      <c r="C8" t="s">
        <v>25</v>
      </c>
      <c r="D8">
        <v>294.38</v>
      </c>
      <c r="E8" s="1">
        <v>9.9999999999999995E-7</v>
      </c>
      <c r="F8">
        <v>-6</v>
      </c>
      <c r="G8" t="s">
        <v>14</v>
      </c>
      <c r="H8" t="s">
        <v>11</v>
      </c>
      <c r="I8">
        <f t="shared" ca="1" si="0"/>
        <v>-5.4970293513689423</v>
      </c>
      <c r="J8">
        <f t="shared" ca="1" si="1"/>
        <v>3.1839823281144339E-6</v>
      </c>
      <c r="K8">
        <f t="shared" ca="1" si="2"/>
        <v>0.2529794733843469</v>
      </c>
      <c r="L8">
        <f t="shared" si="3"/>
        <v>0.93008664809999997</v>
      </c>
      <c r="M8">
        <v>2.2567085658263988</v>
      </c>
    </row>
    <row r="9" spans="1:20" x14ac:dyDescent="0.3">
      <c r="A9">
        <v>99</v>
      </c>
      <c r="B9" t="s">
        <v>26</v>
      </c>
      <c r="C9" t="s">
        <v>27</v>
      </c>
      <c r="D9">
        <v>294.57</v>
      </c>
      <c r="E9" s="1">
        <v>3.3299999999999998E-7</v>
      </c>
      <c r="F9">
        <v>-6.477555766</v>
      </c>
      <c r="G9" t="s">
        <v>14</v>
      </c>
      <c r="H9" t="s">
        <v>11</v>
      </c>
      <c r="I9">
        <f t="shared" ca="1" si="0"/>
        <v>-5.9495039146425706</v>
      </c>
      <c r="J9">
        <f t="shared" ca="1" si="1"/>
        <v>1.123300844422204E-6</v>
      </c>
      <c r="K9">
        <f t="shared" ca="1" si="2"/>
        <v>0.27883875772200883</v>
      </c>
      <c r="L9">
        <f t="shared" si="3"/>
        <v>2.0792652703159669</v>
      </c>
      <c r="M9">
        <v>2.2567085658263988</v>
      </c>
    </row>
    <row r="10" spans="1:20" x14ac:dyDescent="0.3">
      <c r="A10">
        <v>759</v>
      </c>
      <c r="B10" t="s">
        <v>28</v>
      </c>
      <c r="C10" t="s">
        <v>29</v>
      </c>
      <c r="D10">
        <v>295.14999999999998</v>
      </c>
      <c r="E10" s="1">
        <v>4.0000000000000003E-5</v>
      </c>
      <c r="F10">
        <v>-4.397940009</v>
      </c>
      <c r="G10" t="s">
        <v>10</v>
      </c>
      <c r="H10" t="s">
        <v>11</v>
      </c>
      <c r="I10">
        <f t="shared" ca="1" si="0"/>
        <v>-3.9444218759465399</v>
      </c>
      <c r="J10">
        <f t="shared" ca="1" si="1"/>
        <v>1.1365227252625269E-4</v>
      </c>
      <c r="K10">
        <f t="shared" ca="1" si="2"/>
        <v>0.20567869700829594</v>
      </c>
      <c r="L10">
        <f t="shared" si="3"/>
        <v>0.40659751102230002</v>
      </c>
      <c r="M10">
        <v>2.2567085658263988</v>
      </c>
    </row>
    <row r="11" spans="1:20" x14ac:dyDescent="0.3">
      <c r="A11">
        <v>760</v>
      </c>
      <c r="B11" t="s">
        <v>30</v>
      </c>
      <c r="C11" t="s">
        <v>29</v>
      </c>
      <c r="D11">
        <v>295.14999999999998</v>
      </c>
      <c r="E11" s="1">
        <v>6.9999999999999999E-6</v>
      </c>
      <c r="F11">
        <v>-5.1549019600000001</v>
      </c>
      <c r="G11" t="s">
        <v>10</v>
      </c>
      <c r="H11" t="s">
        <v>11</v>
      </c>
      <c r="I11">
        <f t="shared" ca="1" si="0"/>
        <v>-4.5243880132537964</v>
      </c>
      <c r="J11">
        <f t="shared" ca="1" si="1"/>
        <v>2.9895924409313773E-5</v>
      </c>
      <c r="K11">
        <f t="shared" ca="1" si="2"/>
        <v>0.39754783704147467</v>
      </c>
      <c r="L11">
        <f t="shared" si="3"/>
        <v>1.4235343799041626E-2</v>
      </c>
      <c r="M11">
        <v>2.2567085658263988</v>
      </c>
    </row>
    <row r="12" spans="1:20" x14ac:dyDescent="0.3">
      <c r="A12">
        <v>814</v>
      </c>
      <c r="B12" t="s">
        <v>31</v>
      </c>
      <c r="C12" t="s">
        <v>32</v>
      </c>
      <c r="D12">
        <v>295.14999999999998</v>
      </c>
      <c r="E12" s="1">
        <v>6.0000000000000002E-6</v>
      </c>
      <c r="F12">
        <v>-5.2218487500000004</v>
      </c>
      <c r="G12" t="s">
        <v>10</v>
      </c>
      <c r="H12" t="s">
        <v>11</v>
      </c>
      <c r="I12">
        <f t="shared" ca="1" si="0"/>
        <v>-4.4627295828382278</v>
      </c>
      <c r="J12">
        <f t="shared" ca="1" si="1"/>
        <v>3.4456440995023075E-5</v>
      </c>
      <c r="K12">
        <f t="shared" ca="1" si="2"/>
        <v>0.57626190995238313</v>
      </c>
      <c r="L12">
        <f t="shared" si="3"/>
        <v>3.4692321951562632E-2</v>
      </c>
      <c r="M12">
        <v>2.2567085658263988</v>
      </c>
    </row>
    <row r="13" spans="1:20" x14ac:dyDescent="0.3">
      <c r="A13">
        <v>815</v>
      </c>
      <c r="B13" t="s">
        <v>33</v>
      </c>
      <c r="C13" t="s">
        <v>32</v>
      </c>
      <c r="D13">
        <v>295.14999999999998</v>
      </c>
      <c r="E13" s="1">
        <v>4.1999999999999996E-6</v>
      </c>
      <c r="F13">
        <v>-5.3767507099999996</v>
      </c>
      <c r="G13" t="s">
        <v>10</v>
      </c>
      <c r="H13" t="s">
        <v>11</v>
      </c>
      <c r="I13">
        <f t="shared" ca="1" si="0"/>
        <v>-4.7088519242755869</v>
      </c>
      <c r="J13">
        <f t="shared" ca="1" si="1"/>
        <v>1.9550059150170775E-5</v>
      </c>
      <c r="K13">
        <f t="shared" ca="1" si="2"/>
        <v>0.44608878797214502</v>
      </c>
      <c r="L13">
        <f t="shared" si="3"/>
        <v>0.11639063004770382</v>
      </c>
      <c r="M13">
        <v>2.2567085658263988</v>
      </c>
    </row>
    <row r="14" spans="1:20" x14ac:dyDescent="0.3">
      <c r="A14">
        <v>816</v>
      </c>
      <c r="B14" t="s">
        <v>34</v>
      </c>
      <c r="C14" t="s">
        <v>32</v>
      </c>
      <c r="D14">
        <v>295.14999999999998</v>
      </c>
      <c r="E14" s="1">
        <v>1.5999999999999999E-6</v>
      </c>
      <c r="F14">
        <v>-5.795880017</v>
      </c>
      <c r="G14" t="s">
        <v>10</v>
      </c>
      <c r="H14" t="s">
        <v>11</v>
      </c>
      <c r="I14">
        <f t="shared" ca="1" si="0"/>
        <v>-4.9590441102070812</v>
      </c>
      <c r="J14">
        <f t="shared" ca="1" si="1"/>
        <v>1.0988942218195839E-5</v>
      </c>
      <c r="K14">
        <f t="shared" ca="1" si="2"/>
        <v>0.70029433489792658</v>
      </c>
      <c r="L14">
        <f t="shared" si="3"/>
        <v>0.57804090994986024</v>
      </c>
      <c r="M14">
        <v>2.2567085658263988</v>
      </c>
    </row>
    <row r="15" spans="1:20" x14ac:dyDescent="0.3">
      <c r="A15">
        <v>2</v>
      </c>
      <c r="B15" t="s">
        <v>35</v>
      </c>
      <c r="C15" t="s">
        <v>36</v>
      </c>
      <c r="D15">
        <v>295.20999999999998</v>
      </c>
      <c r="E15" s="1">
        <v>5.4000000000000002E-7</v>
      </c>
      <c r="F15">
        <v>-6.2676062400000001</v>
      </c>
      <c r="G15" t="s">
        <v>37</v>
      </c>
      <c r="H15" t="s">
        <v>38</v>
      </c>
      <c r="I15">
        <f t="shared" ca="1" si="0"/>
        <v>-5.1587163625962926</v>
      </c>
      <c r="J15">
        <f t="shared" ca="1" si="1"/>
        <v>6.93878829814323E-6</v>
      </c>
      <c r="K15">
        <f t="shared" ca="1" si="2"/>
        <v>1.2296367602084095</v>
      </c>
      <c r="L15">
        <f t="shared" si="3"/>
        <v>1.5178640156237377</v>
      </c>
      <c r="M15">
        <v>2.2567085658263988</v>
      </c>
    </row>
    <row r="16" spans="1:20" x14ac:dyDescent="0.3">
      <c r="A16">
        <v>79</v>
      </c>
      <c r="B16" t="s">
        <v>39</v>
      </c>
      <c r="C16" t="s">
        <v>40</v>
      </c>
      <c r="D16">
        <v>296.14999999999998</v>
      </c>
      <c r="E16" s="1">
        <v>1.66E-4</v>
      </c>
      <c r="F16">
        <v>-3.7798919120000001</v>
      </c>
      <c r="G16" t="s">
        <v>41</v>
      </c>
      <c r="H16" t="s">
        <v>11</v>
      </c>
      <c r="I16">
        <f t="shared" ca="1" si="0"/>
        <v>-2.7631058368112993</v>
      </c>
      <c r="J16">
        <f t="shared" ca="1" si="1"/>
        <v>1.7254173595355954E-3</v>
      </c>
      <c r="K16">
        <f t="shared" ca="1" si="2"/>
        <v>1.0338539226976422</v>
      </c>
      <c r="L16">
        <f t="shared" si="3"/>
        <v>1.5767776882068556</v>
      </c>
      <c r="M16">
        <v>2.2567085658263988</v>
      </c>
    </row>
    <row r="17" spans="1:13" x14ac:dyDescent="0.3">
      <c r="A17">
        <v>326</v>
      </c>
      <c r="B17" t="s">
        <v>42</v>
      </c>
      <c r="C17" t="s">
        <v>43</v>
      </c>
      <c r="D17">
        <v>296.14999999999998</v>
      </c>
      <c r="E17" s="1">
        <v>5.6300000000000005E-7</v>
      </c>
      <c r="F17">
        <v>-6.2494916050000002</v>
      </c>
      <c r="G17" t="s">
        <v>14</v>
      </c>
      <c r="H17" t="s">
        <v>11</v>
      </c>
      <c r="I17">
        <f t="shared" ca="1" si="0"/>
        <v>-5.3008910974367973</v>
      </c>
      <c r="J17">
        <f t="shared" ca="1" si="1"/>
        <v>5.0015993806840989E-6</v>
      </c>
      <c r="K17">
        <f t="shared" ca="1" si="2"/>
        <v>0.89984292294916624</v>
      </c>
      <c r="L17">
        <f t="shared" si="3"/>
        <v>1.4735571066215765</v>
      </c>
      <c r="M17">
        <v>2.2567085658263988</v>
      </c>
    </row>
    <row r="18" spans="1:13" x14ac:dyDescent="0.3">
      <c r="A18">
        <v>153</v>
      </c>
      <c r="B18" t="s">
        <v>44</v>
      </c>
      <c r="C18" t="s">
        <v>45</v>
      </c>
      <c r="D18">
        <v>296.81</v>
      </c>
      <c r="E18" s="1">
        <v>2.4499999999999998E-6</v>
      </c>
      <c r="F18">
        <v>-5.6108339159999998</v>
      </c>
      <c r="G18" t="s">
        <v>19</v>
      </c>
      <c r="H18" t="s">
        <v>38</v>
      </c>
      <c r="I18">
        <f t="shared" ca="1" si="0"/>
        <v>-4.7024185106753933</v>
      </c>
      <c r="J18">
        <f t="shared" ca="1" si="1"/>
        <v>1.9841819260762277E-5</v>
      </c>
      <c r="K18">
        <f t="shared" ca="1" si="2"/>
        <v>0.82521854863106914</v>
      </c>
      <c r="L18">
        <f t="shared" si="3"/>
        <v>0.33090556289501483</v>
      </c>
      <c r="M18">
        <v>2.2567085658263988</v>
      </c>
    </row>
    <row r="19" spans="1:13" x14ac:dyDescent="0.3">
      <c r="A19">
        <v>790</v>
      </c>
      <c r="B19" t="s">
        <v>46</v>
      </c>
      <c r="C19" t="s">
        <v>47</v>
      </c>
      <c r="D19">
        <v>297.14999999999998</v>
      </c>
      <c r="E19" s="1">
        <v>8.9999999999999998E-4</v>
      </c>
      <c r="F19">
        <v>-3.0457574909999998</v>
      </c>
      <c r="G19" t="s">
        <v>10</v>
      </c>
      <c r="H19" t="s">
        <v>11</v>
      </c>
      <c r="I19">
        <f t="shared" ca="1" si="0"/>
        <v>-2.0162446483845264</v>
      </c>
      <c r="J19">
        <f t="shared" ca="1" si="1"/>
        <v>9.6328622876878257E-3</v>
      </c>
      <c r="K19">
        <f t="shared" ca="1" si="2"/>
        <v>1.0598966931101925</v>
      </c>
      <c r="L19">
        <f t="shared" si="3"/>
        <v>3.9594334138732359</v>
      </c>
      <c r="M19">
        <v>2.2567085658263988</v>
      </c>
    </row>
    <row r="20" spans="1:13" x14ac:dyDescent="0.3">
      <c r="A20">
        <v>795</v>
      </c>
      <c r="B20" t="s">
        <v>48</v>
      </c>
      <c r="C20" t="s">
        <v>49</v>
      </c>
      <c r="D20">
        <v>297.14999999999998</v>
      </c>
      <c r="E20" s="1">
        <v>1.8799999999999999E-4</v>
      </c>
      <c r="F20">
        <v>-3.7258421510000002</v>
      </c>
      <c r="G20" t="s">
        <v>10</v>
      </c>
      <c r="H20" t="s">
        <v>11</v>
      </c>
      <c r="I20">
        <f t="shared" ca="1" si="0"/>
        <v>-2.6813067911860426</v>
      </c>
      <c r="J20">
        <f t="shared" ca="1" si="1"/>
        <v>2.0830188920096071E-3</v>
      </c>
      <c r="K20">
        <f t="shared" ca="1" si="2"/>
        <v>1.0910541179016737</v>
      </c>
      <c r="L20">
        <f t="shared" si="3"/>
        <v>1.7154394279601264</v>
      </c>
      <c r="M20">
        <v>2.2567085658263988</v>
      </c>
    </row>
    <row r="21" spans="1:13" x14ac:dyDescent="0.3">
      <c r="A21">
        <v>17</v>
      </c>
      <c r="B21" t="s">
        <v>50</v>
      </c>
      <c r="C21" t="s">
        <v>51</v>
      </c>
      <c r="D21">
        <v>298</v>
      </c>
      <c r="E21" s="1">
        <v>5.1099999999999995E-4</v>
      </c>
      <c r="F21">
        <v>-3.2915790999999999</v>
      </c>
      <c r="G21" t="s">
        <v>10</v>
      </c>
      <c r="H21" t="s">
        <v>11</v>
      </c>
      <c r="I21">
        <f t="shared" ca="1" si="0"/>
        <v>-2.8255451077370703</v>
      </c>
      <c r="J21">
        <f t="shared" ca="1" si="1"/>
        <v>1.4943588236187271E-3</v>
      </c>
      <c r="K21">
        <f t="shared" ca="1" si="2"/>
        <v>0.21718768194452426</v>
      </c>
      <c r="L21">
        <f t="shared" si="3"/>
        <v>3.0415740193188103</v>
      </c>
      <c r="M21">
        <v>2.2567085658263988</v>
      </c>
    </row>
    <row r="22" spans="1:13" x14ac:dyDescent="0.3">
      <c r="A22">
        <v>21</v>
      </c>
      <c r="B22" t="s">
        <v>52</v>
      </c>
      <c r="C22" t="s">
        <v>53</v>
      </c>
      <c r="D22">
        <v>298</v>
      </c>
      <c r="E22" s="1">
        <v>3.1E-4</v>
      </c>
      <c r="F22">
        <v>-3.5086383059999999</v>
      </c>
      <c r="G22" t="s">
        <v>10</v>
      </c>
      <c r="H22" t="s">
        <v>11</v>
      </c>
      <c r="I22">
        <f t="shared" ca="1" si="0"/>
        <v>-2.9970403056937411</v>
      </c>
      <c r="J22">
        <f t="shared" ca="1" si="1"/>
        <v>1.0068382225891482E-3</v>
      </c>
      <c r="K22">
        <f t="shared" ca="1" si="2"/>
        <v>0.2617325139173628</v>
      </c>
      <c r="L22">
        <f t="shared" si="3"/>
        <v>2.3315814758094699</v>
      </c>
      <c r="M22">
        <v>2.2567085658263988</v>
      </c>
    </row>
    <row r="23" spans="1:13" x14ac:dyDescent="0.3">
      <c r="A23">
        <v>24</v>
      </c>
      <c r="B23" t="s">
        <v>50</v>
      </c>
      <c r="C23" t="s">
        <v>54</v>
      </c>
      <c r="D23">
        <v>298</v>
      </c>
      <c r="E23" s="1">
        <v>1.6300000000000001E-6</v>
      </c>
      <c r="F23">
        <v>-5.7878123959999996</v>
      </c>
      <c r="G23" t="s">
        <v>10</v>
      </c>
      <c r="H23" t="s">
        <v>11</v>
      </c>
      <c r="I23">
        <f t="shared" ca="1" si="0"/>
        <v>-5.1713366402138892</v>
      </c>
      <c r="J23">
        <f t="shared" ca="1" si="1"/>
        <v>6.7400537478700969E-6</v>
      </c>
      <c r="K23">
        <f t="shared" ca="1" si="2"/>
        <v>0.38004235747205611</v>
      </c>
      <c r="L23">
        <f t="shared" si="3"/>
        <v>0.56583853304398024</v>
      </c>
      <c r="M23">
        <v>2.2567085658263988</v>
      </c>
    </row>
    <row r="24" spans="1:13" x14ac:dyDescent="0.3">
      <c r="A24">
        <v>25</v>
      </c>
      <c r="B24" t="s">
        <v>55</v>
      </c>
      <c r="C24" t="s">
        <v>56</v>
      </c>
      <c r="D24">
        <v>298</v>
      </c>
      <c r="E24" s="1">
        <v>1.58E-3</v>
      </c>
      <c r="F24">
        <v>-2.801342913</v>
      </c>
      <c r="G24" t="s">
        <v>57</v>
      </c>
      <c r="H24" t="s">
        <v>20</v>
      </c>
      <c r="I24">
        <f t="shared" ca="1" si="0"/>
        <v>-1.9273733036056842</v>
      </c>
      <c r="J24">
        <f t="shared" ca="1" si="1"/>
        <v>1.1820250935200527E-2</v>
      </c>
      <c r="K24">
        <f t="shared" ca="1" si="2"/>
        <v>0.76382287814485306</v>
      </c>
      <c r="L24">
        <f t="shared" si="3"/>
        <v>4.9918600457679858</v>
      </c>
      <c r="M24">
        <v>2.2567085658263988</v>
      </c>
    </row>
    <row r="25" spans="1:13" x14ac:dyDescent="0.3">
      <c r="A25">
        <v>26</v>
      </c>
      <c r="B25" t="s">
        <v>26</v>
      </c>
      <c r="C25" t="s">
        <v>58</v>
      </c>
      <c r="D25">
        <v>298</v>
      </c>
      <c r="E25" s="1">
        <v>6.1999999999999998E-3</v>
      </c>
      <c r="F25">
        <v>-2.207608311</v>
      </c>
      <c r="G25" t="s">
        <v>14</v>
      </c>
      <c r="H25" t="s">
        <v>11</v>
      </c>
      <c r="I25">
        <f t="shared" ca="1" si="0"/>
        <v>-1.8331108560980263</v>
      </c>
      <c r="J25">
        <f t="shared" ca="1" si="1"/>
        <v>1.4685513738374822E-2</v>
      </c>
      <c r="K25">
        <f t="shared" ca="1" si="2"/>
        <v>0.14024834372805584</v>
      </c>
      <c r="L25">
        <f t="shared" si="3"/>
        <v>7.9974804333192928</v>
      </c>
      <c r="M25">
        <v>2.2567085658263988</v>
      </c>
    </row>
    <row r="26" spans="1:13" x14ac:dyDescent="0.3">
      <c r="A26">
        <v>27</v>
      </c>
      <c r="B26" t="s">
        <v>26</v>
      </c>
      <c r="C26" t="s">
        <v>59</v>
      </c>
      <c r="D26">
        <v>298</v>
      </c>
      <c r="E26" s="1">
        <v>1.2099999999999999E-3</v>
      </c>
      <c r="F26">
        <v>-2.9172146300000001</v>
      </c>
      <c r="G26" t="s">
        <v>14</v>
      </c>
      <c r="H26" t="s">
        <v>11</v>
      </c>
      <c r="I26">
        <f t="shared" ca="1" si="0"/>
        <v>-1.8921080193600384</v>
      </c>
      <c r="J26">
        <f t="shared" ca="1" si="1"/>
        <v>1.2820116762229E-2</v>
      </c>
      <c r="K26">
        <f t="shared" ca="1" si="2"/>
        <v>1.0508435631777502</v>
      </c>
      <c r="L26">
        <f t="shared" si="3"/>
        <v>4.4875142082226365</v>
      </c>
      <c r="M26">
        <v>2.2567085658263988</v>
      </c>
    </row>
    <row r="27" spans="1:13" x14ac:dyDescent="0.3">
      <c r="A27">
        <v>30</v>
      </c>
      <c r="B27" t="s">
        <v>60</v>
      </c>
      <c r="C27" t="s">
        <v>61</v>
      </c>
      <c r="D27">
        <v>298</v>
      </c>
      <c r="E27" s="1">
        <v>6.9999999999999999E-4</v>
      </c>
      <c r="F27">
        <v>-3.1549019600000001</v>
      </c>
      <c r="G27" t="s">
        <v>14</v>
      </c>
      <c r="H27" t="s">
        <v>11</v>
      </c>
      <c r="I27">
        <f t="shared" ca="1" si="0"/>
        <v>-2.8810351769183447</v>
      </c>
      <c r="J27">
        <f t="shared" ca="1" si="1"/>
        <v>1.3151183061257089E-3</v>
      </c>
      <c r="K27">
        <f t="shared" ca="1" si="2"/>
        <v>7.5003014875494531E-2</v>
      </c>
      <c r="L27">
        <f t="shared" si="3"/>
        <v>3.536987503799041</v>
      </c>
      <c r="M27">
        <v>2.2567085658263988</v>
      </c>
    </row>
    <row r="28" spans="1:13" x14ac:dyDescent="0.3">
      <c r="A28">
        <v>31</v>
      </c>
      <c r="B28" t="s">
        <v>62</v>
      </c>
      <c r="C28" t="s">
        <v>47</v>
      </c>
      <c r="D28">
        <v>298</v>
      </c>
      <c r="E28" s="1">
        <v>1.2999999999999999E-3</v>
      </c>
      <c r="F28">
        <v>-2.8860566479999998</v>
      </c>
      <c r="G28" t="s">
        <v>10</v>
      </c>
      <c r="H28" t="s">
        <v>11</v>
      </c>
      <c r="I28">
        <f t="shared" ca="1" si="0"/>
        <v>-2.4672741718391951</v>
      </c>
      <c r="J28">
        <f t="shared" ca="1" si="1"/>
        <v>3.4097758315152593E-3</v>
      </c>
      <c r="K28">
        <f t="shared" ca="1" si="2"/>
        <v>0.17537876233937502</v>
      </c>
      <c r="L28">
        <f t="shared" si="3"/>
        <v>4.6204936313603566</v>
      </c>
      <c r="M28">
        <v>2.2567085658263988</v>
      </c>
    </row>
    <row r="29" spans="1:13" x14ac:dyDescent="0.3">
      <c r="A29">
        <v>35</v>
      </c>
      <c r="B29" t="s">
        <v>63</v>
      </c>
      <c r="C29" t="s">
        <v>64</v>
      </c>
      <c r="D29">
        <v>298</v>
      </c>
      <c r="E29" s="1">
        <v>3.8299999999999998E-7</v>
      </c>
      <c r="F29">
        <v>-6.4168012259999996</v>
      </c>
      <c r="G29" t="s">
        <v>14</v>
      </c>
      <c r="H29" t="s">
        <v>11</v>
      </c>
      <c r="I29">
        <f t="shared" ca="1" si="0"/>
        <v>-5.5623443762133924</v>
      </c>
      <c r="J29">
        <f t="shared" ca="1" si="1"/>
        <v>2.7394010872063518E-6</v>
      </c>
      <c r="K29">
        <f t="shared" ca="1" si="2"/>
        <v>0.73009650814725258</v>
      </c>
      <c r="L29">
        <f t="shared" si="3"/>
        <v>1.9077444508284218</v>
      </c>
      <c r="M29">
        <v>2.2567085658263988</v>
      </c>
    </row>
    <row r="30" spans="1:13" x14ac:dyDescent="0.3">
      <c r="A30">
        <v>36</v>
      </c>
      <c r="B30" t="s">
        <v>65</v>
      </c>
      <c r="C30" t="s">
        <v>56</v>
      </c>
      <c r="D30">
        <v>298</v>
      </c>
      <c r="E30" s="1">
        <v>2.5000000000000001E-2</v>
      </c>
      <c r="F30">
        <v>-1.602059991</v>
      </c>
      <c r="G30" t="s">
        <v>57</v>
      </c>
      <c r="H30" t="s">
        <v>66</v>
      </c>
      <c r="I30">
        <f t="shared" ca="1" si="0"/>
        <v>-1.2766441609710899</v>
      </c>
      <c r="J30">
        <f t="shared" ca="1" si="1"/>
        <v>5.2887841063386315E-2</v>
      </c>
      <c r="K30">
        <f t="shared" ca="1" si="2"/>
        <v>0.10589546243340447</v>
      </c>
      <c r="L30">
        <f t="shared" si="3"/>
        <v>11.78912832270354</v>
      </c>
      <c r="M30">
        <v>2.2567085658263988</v>
      </c>
    </row>
    <row r="31" spans="1:13" x14ac:dyDescent="0.3">
      <c r="A31">
        <v>39</v>
      </c>
      <c r="B31" t="s">
        <v>67</v>
      </c>
      <c r="C31" t="s">
        <v>68</v>
      </c>
      <c r="D31">
        <v>298</v>
      </c>
      <c r="E31" s="1">
        <v>3.2000000000000002E-3</v>
      </c>
      <c r="F31">
        <v>-2.4948500220000001</v>
      </c>
      <c r="G31" t="s">
        <v>57</v>
      </c>
      <c r="H31" t="s">
        <v>20</v>
      </c>
      <c r="I31">
        <f t="shared" ca="1" si="0"/>
        <v>-2.1751653884887032</v>
      </c>
      <c r="J31">
        <f t="shared" ca="1" si="1"/>
        <v>6.6808944658073854E-3</v>
      </c>
      <c r="K31">
        <f t="shared" ca="1" si="2"/>
        <v>0.10219826490325216</v>
      </c>
      <c r="L31">
        <f t="shared" si="3"/>
        <v>6.4553596358074401</v>
      </c>
      <c r="M31">
        <v>2.2567085658263988</v>
      </c>
    </row>
    <row r="32" spans="1:13" x14ac:dyDescent="0.3">
      <c r="A32">
        <v>40</v>
      </c>
      <c r="B32" t="s">
        <v>15</v>
      </c>
      <c r="C32" t="s">
        <v>69</v>
      </c>
      <c r="D32">
        <v>298</v>
      </c>
      <c r="E32" s="1">
        <v>5.6299999999999996E-3</v>
      </c>
      <c r="F32">
        <v>-2.2494916049999998</v>
      </c>
      <c r="G32" t="s">
        <v>14</v>
      </c>
      <c r="H32" t="s">
        <v>11</v>
      </c>
      <c r="I32">
        <f t="shared" ca="1" si="0"/>
        <v>-1.7326135953306039</v>
      </c>
      <c r="J32">
        <f t="shared" ca="1" si="1"/>
        <v>1.850914700240246E-2</v>
      </c>
      <c r="K32">
        <f t="shared" ca="1" si="2"/>
        <v>0.26716287687979612</v>
      </c>
      <c r="L32">
        <f t="shared" si="3"/>
        <v>7.7623442666215769</v>
      </c>
      <c r="M32">
        <v>2.2567085658263988</v>
      </c>
    </row>
    <row r="33" spans="1:13" x14ac:dyDescent="0.3">
      <c r="A33">
        <v>8</v>
      </c>
      <c r="B33" t="s">
        <v>70</v>
      </c>
      <c r="C33" t="s">
        <v>71</v>
      </c>
      <c r="D33">
        <v>298.14999999999998</v>
      </c>
      <c r="E33" s="1">
        <v>1.0000000000000001E-9</v>
      </c>
      <c r="F33">
        <v>-9</v>
      </c>
      <c r="G33" t="s">
        <v>72</v>
      </c>
      <c r="H33" t="s">
        <v>38</v>
      </c>
      <c r="I33">
        <f t="shared" ca="1" si="0"/>
        <v>-8.2818479553614477</v>
      </c>
      <c r="J33">
        <f t="shared" ca="1" si="1"/>
        <v>5.2257910968609872E-9</v>
      </c>
      <c r="K33">
        <f t="shared" ca="1" si="2"/>
        <v>0.51574235921853329</v>
      </c>
      <c r="L33">
        <f t="shared" si="3"/>
        <v>15.7165466481</v>
      </c>
      <c r="M33">
        <v>2.2567085658263988</v>
      </c>
    </row>
    <row r="34" spans="1:13" x14ac:dyDescent="0.3">
      <c r="A34">
        <v>20</v>
      </c>
      <c r="B34" t="s">
        <v>73</v>
      </c>
      <c r="C34" t="s">
        <v>74</v>
      </c>
      <c r="D34">
        <v>298.14999999999998</v>
      </c>
      <c r="E34" s="1">
        <v>9.5600000000000004E-4</v>
      </c>
      <c r="F34">
        <v>-3.019542108</v>
      </c>
      <c r="G34" t="s">
        <v>10</v>
      </c>
      <c r="H34" t="s">
        <v>11</v>
      </c>
      <c r="I34">
        <f t="shared" ca="1" si="0"/>
        <v>-2.3372464097699299</v>
      </c>
      <c r="J34">
        <f t="shared" ca="1" si="1"/>
        <v>4.5999550752255465E-3</v>
      </c>
      <c r="K34">
        <f t="shared" ca="1" si="2"/>
        <v>0.46552741982325885</v>
      </c>
      <c r="L34">
        <f t="shared" si="3"/>
        <v>4.0644491028376439</v>
      </c>
      <c r="M34">
        <v>2.2567085658263988</v>
      </c>
    </row>
    <row r="35" spans="1:13" x14ac:dyDescent="0.3">
      <c r="A35">
        <v>29</v>
      </c>
      <c r="B35" t="s">
        <v>75</v>
      </c>
      <c r="C35" t="s">
        <v>76</v>
      </c>
      <c r="D35">
        <v>298.14999999999998</v>
      </c>
      <c r="E35" s="1">
        <v>2.31E-4</v>
      </c>
      <c r="F35">
        <v>-3.6363880200000001</v>
      </c>
      <c r="G35" t="s">
        <v>14</v>
      </c>
      <c r="H35" t="s">
        <v>11</v>
      </c>
      <c r="I35">
        <f t="shared" ca="1" si="0"/>
        <v>-3.019665524740307</v>
      </c>
      <c r="J35">
        <f t="shared" ca="1" si="1"/>
        <v>9.5572836425611982E-4</v>
      </c>
      <c r="K35">
        <f t="shared" ca="1" si="2"/>
        <v>0.38034663615934211</v>
      </c>
      <c r="L35">
        <f t="shared" si="3"/>
        <v>1.9577661808359204</v>
      </c>
      <c r="M35">
        <v>2.2567085658263988</v>
      </c>
    </row>
    <row r="36" spans="1:13" x14ac:dyDescent="0.3">
      <c r="A36">
        <v>37</v>
      </c>
      <c r="B36" t="s">
        <v>77</v>
      </c>
      <c r="C36" t="s">
        <v>78</v>
      </c>
      <c r="D36">
        <v>298.14999999999998</v>
      </c>
      <c r="E36" s="1">
        <v>2.0300000000000001E-3</v>
      </c>
      <c r="F36">
        <v>-2.692503962</v>
      </c>
      <c r="G36" t="s">
        <v>57</v>
      </c>
      <c r="H36" t="s">
        <v>20</v>
      </c>
      <c r="I36">
        <f t="shared" ca="1" si="0"/>
        <v>-1.8243094238884869</v>
      </c>
      <c r="J36">
        <f t="shared" ca="1" si="1"/>
        <v>1.4986167283444941E-2</v>
      </c>
      <c r="K36">
        <f t="shared" ca="1" si="2"/>
        <v>0.75376175600666351</v>
      </c>
      <c r="L36">
        <f t="shared" si="3"/>
        <v>5.4900521814705376</v>
      </c>
      <c r="M36">
        <v>2.2567085658263988</v>
      </c>
    </row>
    <row r="37" spans="1:13" x14ac:dyDescent="0.3">
      <c r="A37">
        <v>41</v>
      </c>
      <c r="B37" t="s">
        <v>79</v>
      </c>
      <c r="C37" t="s">
        <v>80</v>
      </c>
      <c r="D37">
        <v>298.14999999999998</v>
      </c>
      <c r="E37" s="1">
        <v>8.2999999999999998E-5</v>
      </c>
      <c r="F37">
        <v>-4.0809219079999997</v>
      </c>
      <c r="G37" t="s">
        <v>10</v>
      </c>
      <c r="H37" t="s">
        <v>11</v>
      </c>
      <c r="I37">
        <f t="shared" ca="1" si="0"/>
        <v>-3.0291573054546221</v>
      </c>
      <c r="J37">
        <f t="shared" ca="1" si="1"/>
        <v>9.3506692296455149E-4</v>
      </c>
      <c r="K37">
        <f t="shared" ca="1" si="2"/>
        <v>1.106208779167436</v>
      </c>
      <c r="L37">
        <f t="shared" si="3"/>
        <v>0.91139116588292113</v>
      </c>
      <c r="M37">
        <v>2.2567085658263988</v>
      </c>
    </row>
    <row r="38" spans="1:13" x14ac:dyDescent="0.3">
      <c r="A38">
        <v>44</v>
      </c>
      <c r="B38" t="s">
        <v>81</v>
      </c>
      <c r="C38" t="s">
        <v>78</v>
      </c>
      <c r="D38">
        <v>298.14999999999998</v>
      </c>
      <c r="E38" s="1">
        <v>2.0300000000000001E-3</v>
      </c>
      <c r="F38">
        <v>-2.692503962</v>
      </c>
      <c r="G38" t="s">
        <v>57</v>
      </c>
      <c r="H38" t="s">
        <v>20</v>
      </c>
      <c r="I38">
        <f t="shared" ca="1" si="0"/>
        <v>-1.8851923267762427</v>
      </c>
      <c r="J38">
        <f t="shared" ca="1" si="1"/>
        <v>1.3025898004164508E-2</v>
      </c>
      <c r="K38">
        <f t="shared" ca="1" si="2"/>
        <v>0.65175207636765686</v>
      </c>
      <c r="L38">
        <f t="shared" si="3"/>
        <v>5.4900521814705376</v>
      </c>
      <c r="M38">
        <v>2.2567085658263988</v>
      </c>
    </row>
    <row r="39" spans="1:13" x14ac:dyDescent="0.3">
      <c r="A39">
        <v>60</v>
      </c>
      <c r="B39" t="s">
        <v>82</v>
      </c>
      <c r="C39" t="s">
        <v>83</v>
      </c>
      <c r="D39">
        <v>298.14999999999998</v>
      </c>
      <c r="E39" s="1">
        <v>6.5399999999999996E-4</v>
      </c>
      <c r="F39">
        <v>-3.1844222520000001</v>
      </c>
      <c r="G39" t="s">
        <v>41</v>
      </c>
      <c r="H39" t="s">
        <v>11</v>
      </c>
      <c r="I39">
        <f t="shared" ca="1" si="0"/>
        <v>-2.1395356423462983</v>
      </c>
      <c r="J39">
        <f t="shared" ca="1" si="1"/>
        <v>7.2521095792259776E-3</v>
      </c>
      <c r="K39">
        <f t="shared" ca="1" si="2"/>
        <v>1.0917880270336073</v>
      </c>
      <c r="L39">
        <f t="shared" si="3"/>
        <v>3.4268220312353912</v>
      </c>
      <c r="M39">
        <v>2.2567085658263988</v>
      </c>
    </row>
    <row r="40" spans="1:13" x14ac:dyDescent="0.3">
      <c r="A40">
        <v>83</v>
      </c>
      <c r="B40" t="s">
        <v>84</v>
      </c>
      <c r="C40" t="s">
        <v>85</v>
      </c>
      <c r="D40">
        <v>298.14999999999998</v>
      </c>
      <c r="E40" s="1">
        <v>6.2200000000000005E-4</v>
      </c>
      <c r="F40">
        <v>-3.2062096150000001</v>
      </c>
      <c r="G40" t="s">
        <v>41</v>
      </c>
      <c r="H40" t="s">
        <v>38</v>
      </c>
      <c r="I40">
        <f t="shared" ca="1" si="0"/>
        <v>-2.7919776508516563</v>
      </c>
      <c r="J40">
        <f t="shared" ca="1" si="1"/>
        <v>1.6144416351724633E-3</v>
      </c>
      <c r="K40">
        <f t="shared" ca="1" si="2"/>
        <v>0.17158812012219482</v>
      </c>
      <c r="L40">
        <f t="shared" si="3"/>
        <v>3.3466325930227478</v>
      </c>
      <c r="M40">
        <v>2.2567085658263988</v>
      </c>
    </row>
    <row r="41" spans="1:13" x14ac:dyDescent="0.3">
      <c r="A41">
        <v>86</v>
      </c>
      <c r="B41" t="s">
        <v>86</v>
      </c>
      <c r="C41" t="s">
        <v>87</v>
      </c>
      <c r="D41">
        <v>298.14999999999998</v>
      </c>
      <c r="E41" s="1">
        <v>1.6E-7</v>
      </c>
      <c r="F41">
        <v>-6.795880017</v>
      </c>
      <c r="G41" t="s">
        <v>19</v>
      </c>
      <c r="H41" t="s">
        <v>20</v>
      </c>
      <c r="I41">
        <f t="shared" ca="1" si="0"/>
        <v>-5.960195414733267</v>
      </c>
      <c r="J41">
        <f t="shared" ca="1" si="1"/>
        <v>1.0959849368353265E-6</v>
      </c>
      <c r="K41">
        <f t="shared" ca="1" si="2"/>
        <v>0.69836875446570779</v>
      </c>
      <c r="L41">
        <f t="shared" si="3"/>
        <v>3.0986209439498604</v>
      </c>
      <c r="M41">
        <v>2.2567085658263988</v>
      </c>
    </row>
    <row r="42" spans="1:13" x14ac:dyDescent="0.3">
      <c r="A42">
        <v>98</v>
      </c>
      <c r="B42" t="s">
        <v>26</v>
      </c>
      <c r="C42" t="s">
        <v>27</v>
      </c>
      <c r="D42">
        <v>298.14999999999998</v>
      </c>
      <c r="E42" s="1">
        <v>5.2E-7</v>
      </c>
      <c r="F42">
        <v>-6.2839966560000002</v>
      </c>
      <c r="G42" t="s">
        <v>14</v>
      </c>
      <c r="H42" t="s">
        <v>11</v>
      </c>
      <c r="I42">
        <f t="shared" ca="1" si="0"/>
        <v>-5.4868112208372324</v>
      </c>
      <c r="J42">
        <f t="shared" ca="1" si="1"/>
        <v>3.2597836651459811E-6</v>
      </c>
      <c r="K42">
        <f t="shared" ca="1" si="2"/>
        <v>0.6355046180356515</v>
      </c>
      <c r="L42">
        <f t="shared" si="3"/>
        <v>1.5585191787451029</v>
      </c>
      <c r="M42">
        <v>2.2567085658263988</v>
      </c>
    </row>
    <row r="43" spans="1:13" x14ac:dyDescent="0.3">
      <c r="A43">
        <v>103</v>
      </c>
      <c r="B43" t="s">
        <v>88</v>
      </c>
      <c r="C43" t="s">
        <v>89</v>
      </c>
      <c r="D43">
        <v>298.14999999999998</v>
      </c>
      <c r="E43" s="1">
        <v>3.9800000000000002E-4</v>
      </c>
      <c r="F43">
        <v>-3.4001169280000001</v>
      </c>
      <c r="G43" t="s">
        <v>19</v>
      </c>
      <c r="H43" t="s">
        <v>38</v>
      </c>
      <c r="I43">
        <f t="shared" ca="1" si="0"/>
        <v>-3.1484645517045196</v>
      </c>
      <c r="J43">
        <f t="shared" ca="1" si="1"/>
        <v>7.1045315675317944E-4</v>
      </c>
      <c r="K43">
        <f t="shared" ca="1" si="2"/>
        <v>6.3328918495162131E-2</v>
      </c>
      <c r="L43">
        <f t="shared" si="3"/>
        <v>2.6747721692371167</v>
      </c>
      <c r="M43">
        <v>2.2567085658263988</v>
      </c>
    </row>
    <row r="44" spans="1:13" x14ac:dyDescent="0.3">
      <c r="A44">
        <v>122</v>
      </c>
      <c r="B44" t="s">
        <v>90</v>
      </c>
      <c r="C44" t="s">
        <v>91</v>
      </c>
      <c r="D44">
        <v>298.14999999999998</v>
      </c>
      <c r="E44" s="1">
        <v>3.1599999999999998E-9</v>
      </c>
      <c r="F44">
        <v>-8.5003129170000005</v>
      </c>
      <c r="G44" t="s">
        <v>19</v>
      </c>
      <c r="H44" t="s">
        <v>11</v>
      </c>
      <c r="I44">
        <f t="shared" ca="1" si="0"/>
        <v>-7.5495503129853434</v>
      </c>
      <c r="J44">
        <f t="shared" ca="1" si="1"/>
        <v>2.821302716435118E-8</v>
      </c>
      <c r="K44">
        <f t="shared" ca="1" si="2"/>
        <v>0.90394952919273164</v>
      </c>
      <c r="L44">
        <f t="shared" si="3"/>
        <v>12.004304891584992</v>
      </c>
      <c r="M44">
        <v>2.2567085658263988</v>
      </c>
    </row>
    <row r="45" spans="1:13" x14ac:dyDescent="0.3">
      <c r="A45">
        <v>128</v>
      </c>
      <c r="B45" t="s">
        <v>92</v>
      </c>
      <c r="C45" t="s">
        <v>91</v>
      </c>
      <c r="D45">
        <v>298.14999999999998</v>
      </c>
      <c r="E45" s="1">
        <v>5.7500000000000002E-9</v>
      </c>
      <c r="F45">
        <v>-8.2403321550000008</v>
      </c>
      <c r="G45" t="s">
        <v>19</v>
      </c>
      <c r="H45" t="s">
        <v>11</v>
      </c>
      <c r="I45">
        <f t="shared" ca="1" si="0"/>
        <v>-6.9043586313977228</v>
      </c>
      <c r="J45">
        <f t="shared" ca="1" si="1"/>
        <v>1.2463538759304168E-7</v>
      </c>
      <c r="K45">
        <f t="shared" ca="1" si="2"/>
        <v>1.7848252557662867</v>
      </c>
      <c r="L45">
        <f t="shared" si="3"/>
        <v>10.270372280034049</v>
      </c>
      <c r="M45">
        <v>2.2567085658263988</v>
      </c>
    </row>
    <row r="46" spans="1:13" x14ac:dyDescent="0.3">
      <c r="A46">
        <v>129</v>
      </c>
      <c r="B46" t="s">
        <v>93</v>
      </c>
      <c r="C46" t="s">
        <v>91</v>
      </c>
      <c r="D46">
        <v>298.14999999999998</v>
      </c>
      <c r="E46" s="1">
        <v>9.1199999999999999E-9</v>
      </c>
      <c r="F46">
        <v>-8.0400051619999999</v>
      </c>
      <c r="G46" t="s">
        <v>19</v>
      </c>
      <c r="H46" t="s">
        <v>11</v>
      </c>
      <c r="I46">
        <f t="shared" ca="1" si="0"/>
        <v>-6.6992133315575968</v>
      </c>
      <c r="J46">
        <f t="shared" ca="1" si="1"/>
        <v>1.998879750590637E-7</v>
      </c>
      <c r="K46">
        <f t="shared" ca="1" si="2"/>
        <v>1.7977227325810898</v>
      </c>
      <c r="L46">
        <f t="shared" si="3"/>
        <v>9.0265104656554858</v>
      </c>
      <c r="M46">
        <v>2.2567085658263988</v>
      </c>
    </row>
    <row r="47" spans="1:13" x14ac:dyDescent="0.3">
      <c r="A47">
        <v>134</v>
      </c>
      <c r="B47" t="s">
        <v>94</v>
      </c>
      <c r="C47" t="s">
        <v>18</v>
      </c>
      <c r="D47">
        <v>298.14999999999998</v>
      </c>
      <c r="E47" s="1">
        <v>2.9100000000000003E-4</v>
      </c>
      <c r="F47">
        <v>-3.5361070109999999</v>
      </c>
      <c r="G47" t="s">
        <v>19</v>
      </c>
      <c r="H47" t="s">
        <v>66</v>
      </c>
      <c r="I47">
        <f t="shared" ca="1" si="0"/>
        <v>-3.1072835647467922</v>
      </c>
      <c r="J47">
        <f t="shared" ca="1" si="1"/>
        <v>7.8111762139036073E-4</v>
      </c>
      <c r="K47">
        <f t="shared" ca="1" si="2"/>
        <v>0.1838895480564777</v>
      </c>
      <c r="L47">
        <f t="shared" si="3"/>
        <v>2.2484492343003746</v>
      </c>
      <c r="M47">
        <v>2.2567085658263988</v>
      </c>
    </row>
    <row r="48" spans="1:13" x14ac:dyDescent="0.3">
      <c r="A48">
        <v>135</v>
      </c>
      <c r="B48" t="s">
        <v>95</v>
      </c>
      <c r="C48" t="s">
        <v>18</v>
      </c>
      <c r="D48">
        <v>298.14999999999998</v>
      </c>
      <c r="E48" s="1">
        <v>1.8899999999999999E-6</v>
      </c>
      <c r="F48">
        <v>-5.7242281000000004</v>
      </c>
      <c r="G48" t="s">
        <v>19</v>
      </c>
      <c r="H48" t="s">
        <v>66</v>
      </c>
      <c r="I48">
        <f t="shared" ca="1" si="0"/>
        <v>-4.8175619072549898</v>
      </c>
      <c r="J48">
        <f t="shared" ca="1" si="1"/>
        <v>1.5220821495938769E-5</v>
      </c>
      <c r="K48">
        <f t="shared" ca="1" si="2"/>
        <v>0.8220435850667327</v>
      </c>
      <c r="L48">
        <f t="shared" si="3"/>
        <v>0.47422243277161052</v>
      </c>
      <c r="M48">
        <v>2.2567085658263988</v>
      </c>
    </row>
    <row r="49" spans="1:13" x14ac:dyDescent="0.3">
      <c r="A49">
        <v>147</v>
      </c>
      <c r="B49" t="s">
        <v>96</v>
      </c>
      <c r="C49" t="s">
        <v>97</v>
      </c>
      <c r="D49">
        <v>298.14999999999998</v>
      </c>
      <c r="E49" s="1">
        <v>3.2000000000000002E-3</v>
      </c>
      <c r="F49">
        <v>-2.4948500220000001</v>
      </c>
      <c r="G49" t="s">
        <v>19</v>
      </c>
      <c r="H49" t="s">
        <v>20</v>
      </c>
      <c r="I49">
        <f t="shared" ca="1" si="0"/>
        <v>-1.7213411668719927</v>
      </c>
      <c r="J49">
        <f t="shared" ca="1" si="1"/>
        <v>1.8995854443685536E-2</v>
      </c>
      <c r="K49">
        <f t="shared" ca="1" si="2"/>
        <v>0.59831594896144069</v>
      </c>
      <c r="L49">
        <f t="shared" si="3"/>
        <v>6.4553596358074401</v>
      </c>
      <c r="M49">
        <v>2.2567085658263988</v>
      </c>
    </row>
    <row r="50" spans="1:13" x14ac:dyDescent="0.3">
      <c r="A50">
        <v>149</v>
      </c>
      <c r="B50" t="s">
        <v>98</v>
      </c>
      <c r="C50" t="s">
        <v>97</v>
      </c>
      <c r="D50">
        <v>298.14999999999998</v>
      </c>
      <c r="E50" s="1">
        <v>1.1199999999999999E-3</v>
      </c>
      <c r="F50">
        <v>-2.9507819770000001</v>
      </c>
      <c r="G50" t="s">
        <v>19</v>
      </c>
      <c r="H50" t="s">
        <v>20</v>
      </c>
      <c r="I50">
        <f t="shared" ca="1" si="0"/>
        <v>-1.9156452533230648</v>
      </c>
      <c r="J50">
        <f t="shared" ca="1" si="1"/>
        <v>1.2143803931388242E-2</v>
      </c>
      <c r="K50">
        <f t="shared" ca="1" si="2"/>
        <v>1.0715080367046199</v>
      </c>
      <c r="L50">
        <f t="shared" si="3"/>
        <v>4.3464244927651681</v>
      </c>
      <c r="M50">
        <v>2.2567085658263988</v>
      </c>
    </row>
    <row r="51" spans="1:13" x14ac:dyDescent="0.3">
      <c r="A51">
        <v>150</v>
      </c>
      <c r="B51" t="s">
        <v>99</v>
      </c>
      <c r="C51" t="s">
        <v>97</v>
      </c>
      <c r="D51">
        <v>298.14999999999998</v>
      </c>
      <c r="E51" s="1">
        <v>2.1000000000000001E-4</v>
      </c>
      <c r="F51">
        <v>-3.677780705</v>
      </c>
      <c r="G51" t="s">
        <v>19</v>
      </c>
      <c r="H51" t="s">
        <v>20</v>
      </c>
      <c r="I51">
        <f t="shared" ca="1" si="0"/>
        <v>-3.0867099176005075</v>
      </c>
      <c r="J51">
        <f t="shared" ca="1" si="1"/>
        <v>8.190116556383557E-4</v>
      </c>
      <c r="K51">
        <f t="shared" ca="1" si="2"/>
        <v>0.34936467571705604</v>
      </c>
      <c r="L51">
        <f t="shared" si="3"/>
        <v>1.843646081588397</v>
      </c>
      <c r="M51">
        <v>2.2567085658263988</v>
      </c>
    </row>
    <row r="52" spans="1:13" x14ac:dyDescent="0.3">
      <c r="A52">
        <v>158</v>
      </c>
      <c r="B52" t="s">
        <v>100</v>
      </c>
      <c r="C52" t="s">
        <v>101</v>
      </c>
      <c r="D52">
        <v>298.14999999999998</v>
      </c>
      <c r="E52" s="1">
        <v>2E-3</v>
      </c>
      <c r="F52">
        <v>-2.698970004</v>
      </c>
      <c r="G52" t="s">
        <v>19</v>
      </c>
      <c r="H52" t="s">
        <v>20</v>
      </c>
      <c r="I52">
        <f t="shared" ca="1" si="0"/>
        <v>-1.8738360636985134</v>
      </c>
      <c r="J52">
        <f t="shared" ca="1" si="1"/>
        <v>1.3371001462289674E-2</v>
      </c>
      <c r="K52">
        <f t="shared" ca="1" si="2"/>
        <v>0.68084601943745715</v>
      </c>
      <c r="L52">
        <f t="shared" si="3"/>
        <v>5.4597930057070405</v>
      </c>
      <c r="M52">
        <v>2.2567085658263988</v>
      </c>
    </row>
    <row r="53" spans="1:13" x14ac:dyDescent="0.3">
      <c r="A53">
        <v>160</v>
      </c>
      <c r="B53" t="s">
        <v>100</v>
      </c>
      <c r="C53" t="s">
        <v>101</v>
      </c>
      <c r="D53">
        <v>298.14999999999998</v>
      </c>
      <c r="E53" s="1">
        <v>4.3300000000000002E-5</v>
      </c>
      <c r="F53">
        <v>-4.3635121039999998</v>
      </c>
      <c r="G53" t="s">
        <v>19</v>
      </c>
      <c r="H53" t="s">
        <v>20</v>
      </c>
      <c r="I53">
        <f t="shared" ca="1" si="0"/>
        <v>-3.8157254986636708</v>
      </c>
      <c r="J53">
        <f t="shared" ca="1" si="1"/>
        <v>1.5285318809405056E-4</v>
      </c>
      <c r="K53">
        <f t="shared" ca="1" si="2"/>
        <v>0.300070164985899</v>
      </c>
      <c r="L53">
        <f t="shared" si="3"/>
        <v>0.45168869829178715</v>
      </c>
      <c r="M53">
        <v>2.2567085658263988</v>
      </c>
    </row>
    <row r="54" spans="1:13" x14ac:dyDescent="0.3">
      <c r="A54">
        <v>181</v>
      </c>
      <c r="B54" t="s">
        <v>100</v>
      </c>
      <c r="C54" t="s">
        <v>102</v>
      </c>
      <c r="D54">
        <v>298.14999999999998</v>
      </c>
      <c r="E54" s="1">
        <v>4.6400000000000003E-5</v>
      </c>
      <c r="F54">
        <v>-4.3334820189999999</v>
      </c>
      <c r="G54" t="s">
        <v>19</v>
      </c>
      <c r="H54" t="s">
        <v>20</v>
      </c>
      <c r="I54">
        <f t="shared" ca="1" si="0"/>
        <v>-3.7924786468436342</v>
      </c>
      <c r="J54">
        <f t="shared" ca="1" si="1"/>
        <v>1.6125803118658479E-4</v>
      </c>
      <c r="K54">
        <f t="shared" ca="1" si="2"/>
        <v>0.29268464868455907</v>
      </c>
      <c r="L54">
        <f t="shared" si="3"/>
        <v>0.49295561698389656</v>
      </c>
      <c r="M54">
        <v>2.2567085658263988</v>
      </c>
    </row>
    <row r="55" spans="1:13" x14ac:dyDescent="0.3">
      <c r="A55">
        <v>197</v>
      </c>
      <c r="B55" t="s">
        <v>103</v>
      </c>
      <c r="C55" t="s">
        <v>104</v>
      </c>
      <c r="D55">
        <v>298.14999999999998</v>
      </c>
      <c r="E55" s="1">
        <v>6.2099999999999996E-7</v>
      </c>
      <c r="F55">
        <v>-6.2069083999999997</v>
      </c>
      <c r="G55" t="s">
        <v>10</v>
      </c>
      <c r="H55" t="s">
        <v>11</v>
      </c>
      <c r="I55">
        <f t="shared" ca="1" si="0"/>
        <v>-4.9305217222961533</v>
      </c>
      <c r="J55">
        <f t="shared" ca="1" si="1"/>
        <v>1.1734869862139636E-5</v>
      </c>
      <c r="K55">
        <f t="shared" ca="1" si="2"/>
        <v>1.6291629510198626</v>
      </c>
      <c r="L55">
        <f t="shared" si="3"/>
        <v>1.3719867941785593</v>
      </c>
      <c r="M55">
        <v>2.2567085658263988</v>
      </c>
    </row>
    <row r="56" spans="1:13" x14ac:dyDescent="0.3">
      <c r="A56">
        <v>220</v>
      </c>
      <c r="B56" t="s">
        <v>28</v>
      </c>
      <c r="C56" t="s">
        <v>105</v>
      </c>
      <c r="D56">
        <v>298.14999999999998</v>
      </c>
      <c r="E56" s="1">
        <v>1.2799999999999999E-5</v>
      </c>
      <c r="F56">
        <v>-4.8927900299999996</v>
      </c>
      <c r="G56" t="s">
        <v>10</v>
      </c>
      <c r="H56" t="s">
        <v>11</v>
      </c>
      <c r="I56">
        <f t="shared" ca="1" si="0"/>
        <v>-4.0601787771696189</v>
      </c>
      <c r="J56">
        <f t="shared" ca="1" si="1"/>
        <v>8.7060513188745944E-5</v>
      </c>
      <c r="K56">
        <f t="shared" ca="1" si="2"/>
        <v>0.693241498339776</v>
      </c>
      <c r="L56">
        <f t="shared" si="3"/>
        <v>2.0391831432001028E-2</v>
      </c>
      <c r="M56">
        <v>2.2567085658263988</v>
      </c>
    </row>
    <row r="57" spans="1:13" x14ac:dyDescent="0.3">
      <c r="A57">
        <v>239</v>
      </c>
      <c r="B57" t="s">
        <v>106</v>
      </c>
      <c r="C57" t="s">
        <v>107</v>
      </c>
      <c r="D57">
        <v>298.14999999999998</v>
      </c>
      <c r="E57" s="1">
        <v>1.5099999999999999E-6</v>
      </c>
      <c r="F57">
        <v>-5.8210230530000002</v>
      </c>
      <c r="G57" t="s">
        <v>10</v>
      </c>
      <c r="H57" t="s">
        <v>11</v>
      </c>
      <c r="I57">
        <f t="shared" ca="1" si="0"/>
        <v>-5.3536004420840442</v>
      </c>
      <c r="J57">
        <f t="shared" ca="1" si="1"/>
        <v>4.4299574815875615E-6</v>
      </c>
      <c r="K57">
        <f t="shared" ca="1" si="2"/>
        <v>0.21848389719548925</v>
      </c>
      <c r="L57">
        <f t="shared" si="3"/>
        <v>0.61690508074490114</v>
      </c>
      <c r="M57">
        <v>2.2567085658263988</v>
      </c>
    </row>
    <row r="58" spans="1:13" x14ac:dyDescent="0.3">
      <c r="A58">
        <v>246</v>
      </c>
      <c r="B58" t="s">
        <v>108</v>
      </c>
      <c r="C58" t="s">
        <v>109</v>
      </c>
      <c r="D58">
        <v>298.14999999999998</v>
      </c>
      <c r="E58" s="1">
        <v>6.4999999999999994E-5</v>
      </c>
      <c r="F58">
        <v>-4.1870866429999998</v>
      </c>
      <c r="G58" t="s">
        <v>57</v>
      </c>
      <c r="H58" t="s">
        <v>20</v>
      </c>
      <c r="I58">
        <f t="shared" ca="1" si="0"/>
        <v>-3.8523749628803103</v>
      </c>
      <c r="J58">
        <f t="shared" ca="1" si="1"/>
        <v>1.4048340891861287E-4</v>
      </c>
      <c r="K58">
        <f t="shared" ca="1" si="2"/>
        <v>0.1120319088085453</v>
      </c>
      <c r="L58">
        <f t="shared" si="3"/>
        <v>0.71995794684026981</v>
      </c>
      <c r="M58">
        <v>2.2567085658263988</v>
      </c>
    </row>
    <row r="59" spans="1:13" x14ac:dyDescent="0.3">
      <c r="A59">
        <v>249</v>
      </c>
      <c r="B59" t="s">
        <v>110</v>
      </c>
      <c r="C59" t="s">
        <v>25</v>
      </c>
      <c r="D59">
        <v>298.14999999999998</v>
      </c>
      <c r="E59" s="1">
        <v>2.1800000000000001E-4</v>
      </c>
      <c r="F59">
        <v>-3.6615435060000001</v>
      </c>
      <c r="G59" t="s">
        <v>14</v>
      </c>
      <c r="H59" t="s">
        <v>11</v>
      </c>
      <c r="I59">
        <f t="shared" ca="1" si="0"/>
        <v>-3.0037903083000925</v>
      </c>
      <c r="J59">
        <f t="shared" ca="1" si="1"/>
        <v>9.9131046674948023E-4</v>
      </c>
      <c r="K59">
        <f t="shared" ca="1" si="2"/>
        <v>0.43263926908445371</v>
      </c>
      <c r="L59">
        <f t="shared" si="3"/>
        <v>1.8880037676736918</v>
      </c>
      <c r="M59">
        <v>2.2567085658263988</v>
      </c>
    </row>
    <row r="60" spans="1:13" x14ac:dyDescent="0.3">
      <c r="A60">
        <v>252</v>
      </c>
      <c r="B60" t="s">
        <v>111</v>
      </c>
      <c r="C60" t="s">
        <v>112</v>
      </c>
      <c r="D60">
        <v>298.14999999999998</v>
      </c>
      <c r="E60" s="1">
        <v>8.7000000000000001E-9</v>
      </c>
      <c r="F60">
        <v>-8.0604807469999997</v>
      </c>
      <c r="G60" t="s">
        <v>10</v>
      </c>
      <c r="H60" t="s">
        <v>11</v>
      </c>
      <c r="I60">
        <f t="shared" ca="1" si="0"/>
        <v>-6.7652986385559393</v>
      </c>
      <c r="J60">
        <f t="shared" ca="1" si="1"/>
        <v>1.7167274895170329E-7</v>
      </c>
      <c r="K60">
        <f t="shared" ca="1" si="2"/>
        <v>1.677496694033602</v>
      </c>
      <c r="L60">
        <f t="shared" si="3"/>
        <v>9.1499640312862169</v>
      </c>
      <c r="M60">
        <v>2.2567085658263988</v>
      </c>
    </row>
    <row r="61" spans="1:13" x14ac:dyDescent="0.3">
      <c r="A61">
        <v>255</v>
      </c>
      <c r="B61" t="s">
        <v>113</v>
      </c>
      <c r="C61" t="s">
        <v>114</v>
      </c>
      <c r="D61">
        <v>298.14999999999998</v>
      </c>
      <c r="E61" s="1">
        <v>4.4000000000000002E-7</v>
      </c>
      <c r="F61">
        <v>-6.3565473240000001</v>
      </c>
      <c r="G61" t="s">
        <v>19</v>
      </c>
      <c r="H61" t="s">
        <v>38</v>
      </c>
      <c r="I61">
        <f t="shared" ca="1" si="0"/>
        <v>-5.4593655369327498</v>
      </c>
      <c r="J61">
        <f t="shared" ca="1" si="1"/>
        <v>3.4724377031140505E-6</v>
      </c>
      <c r="K61">
        <f t="shared" ca="1" si="2"/>
        <v>0.80493515904518476</v>
      </c>
      <c r="L61">
        <f t="shared" si="3"/>
        <v>1.7449282518292413</v>
      </c>
      <c r="M61">
        <v>2.2567085658263988</v>
      </c>
    </row>
    <row r="62" spans="1:13" x14ac:dyDescent="0.3">
      <c r="A62">
        <v>301</v>
      </c>
      <c r="B62" t="s">
        <v>115</v>
      </c>
      <c r="C62" t="s">
        <v>116</v>
      </c>
      <c r="D62">
        <v>298.14999999999998</v>
      </c>
      <c r="E62" s="1">
        <v>8.9599999999999999E-4</v>
      </c>
      <c r="F62">
        <v>-3.0476919900000001</v>
      </c>
      <c r="G62" t="s">
        <v>10</v>
      </c>
      <c r="H62" t="s">
        <v>11</v>
      </c>
      <c r="I62">
        <f t="shared" ca="1" si="0"/>
        <v>-2.8055779017926952</v>
      </c>
      <c r="J62">
        <f t="shared" ca="1" si="1"/>
        <v>1.5646676310023888E-3</v>
      </c>
      <c r="K62">
        <f t="shared" ca="1" si="2"/>
        <v>5.8619231708454643E-2</v>
      </c>
      <c r="L62">
        <f t="shared" si="3"/>
        <v>3.9517384981619594</v>
      </c>
      <c r="M62">
        <v>2.2567085658263988</v>
      </c>
    </row>
    <row r="63" spans="1:13" x14ac:dyDescent="0.3">
      <c r="A63">
        <v>302</v>
      </c>
      <c r="B63" t="s">
        <v>117</v>
      </c>
      <c r="C63" t="s">
        <v>118</v>
      </c>
      <c r="D63">
        <v>298.14999999999998</v>
      </c>
      <c r="E63" s="1">
        <v>1.4300000000000001E-3</v>
      </c>
      <c r="F63">
        <v>-2.8446639629999999</v>
      </c>
      <c r="G63" t="s">
        <v>19</v>
      </c>
      <c r="H63" t="s">
        <v>66</v>
      </c>
      <c r="I63">
        <f t="shared" ca="1" si="0"/>
        <v>-2.0118672064722838</v>
      </c>
      <c r="J63">
        <f t="shared" ca="1" si="1"/>
        <v>9.730447046144227E-3</v>
      </c>
      <c r="K63">
        <f t="shared" ca="1" si="2"/>
        <v>0.69355043768308411</v>
      </c>
      <c r="L63">
        <f t="shared" si="3"/>
        <v>4.8001568996045254</v>
      </c>
      <c r="M63">
        <v>2.2567085658263988</v>
      </c>
    </row>
    <row r="64" spans="1:13" x14ac:dyDescent="0.3">
      <c r="A64">
        <v>310</v>
      </c>
      <c r="B64" t="s">
        <v>119</v>
      </c>
      <c r="C64" t="s">
        <v>120</v>
      </c>
      <c r="D64">
        <v>298.14999999999998</v>
      </c>
      <c r="E64" s="1">
        <v>4.26E-4</v>
      </c>
      <c r="F64">
        <v>-3.3705904009999998</v>
      </c>
      <c r="G64" t="s">
        <v>14</v>
      </c>
      <c r="H64" t="s">
        <v>11</v>
      </c>
      <c r="I64">
        <f t="shared" ca="1" si="0"/>
        <v>-3.1216854997063539</v>
      </c>
      <c r="J64">
        <f t="shared" ca="1" si="1"/>
        <v>7.5563923607562672E-4</v>
      </c>
      <c r="K64">
        <f t="shared" ca="1" si="2"/>
        <v>6.1953649887999632E-2</v>
      </c>
      <c r="L64">
        <f t="shared" si="3"/>
        <v>2.7722236646701615</v>
      </c>
      <c r="M64">
        <v>2.2567085658263988</v>
      </c>
    </row>
    <row r="65" spans="1:13" x14ac:dyDescent="0.3">
      <c r="A65">
        <v>311</v>
      </c>
      <c r="B65" t="s">
        <v>121</v>
      </c>
      <c r="C65" t="s">
        <v>120</v>
      </c>
      <c r="D65">
        <v>298.14999999999998</v>
      </c>
      <c r="E65" s="1">
        <v>2.6899999999999998E-4</v>
      </c>
      <c r="F65">
        <v>-3.5702477199999998</v>
      </c>
      <c r="G65" t="s">
        <v>14</v>
      </c>
      <c r="H65" t="s">
        <v>11</v>
      </c>
      <c r="I65">
        <f t="shared" ca="1" si="0"/>
        <v>-2.6887055188548201</v>
      </c>
      <c r="J65">
        <f t="shared" ca="1" si="1"/>
        <v>2.0478327356913402E-3</v>
      </c>
      <c r="K65">
        <f t="shared" ca="1" si="2"/>
        <v>0.77711665239988836</v>
      </c>
      <c r="L65">
        <f t="shared" si="3"/>
        <v>2.147227997555599</v>
      </c>
      <c r="M65">
        <v>2.2567085658263988</v>
      </c>
    </row>
    <row r="66" spans="1:13" x14ac:dyDescent="0.3">
      <c r="A66">
        <v>312</v>
      </c>
      <c r="B66" t="s">
        <v>122</v>
      </c>
      <c r="C66" t="s">
        <v>123</v>
      </c>
      <c r="D66">
        <v>298.14999999999998</v>
      </c>
      <c r="E66" s="1">
        <v>5.22E-4</v>
      </c>
      <c r="F66">
        <v>-3.2823294970000001</v>
      </c>
      <c r="G66" t="s">
        <v>14</v>
      </c>
      <c r="H66" t="s">
        <v>11</v>
      </c>
      <c r="I66">
        <f t="shared" ca="1" si="0"/>
        <v>-2.6045259824021985</v>
      </c>
      <c r="J66">
        <f t="shared" ca="1" si="1"/>
        <v>2.4858448399058732E-3</v>
      </c>
      <c r="K66">
        <f t="shared" ca="1" si="2"/>
        <v>0.45941760440113227</v>
      </c>
      <c r="L66">
        <f t="shared" si="3"/>
        <v>3.0739223913798126</v>
      </c>
      <c r="M66">
        <v>2.2567085658263988</v>
      </c>
    </row>
    <row r="67" spans="1:13" x14ac:dyDescent="0.3">
      <c r="A67">
        <v>313</v>
      </c>
      <c r="B67" t="s">
        <v>63</v>
      </c>
      <c r="C67" t="s">
        <v>123</v>
      </c>
      <c r="D67">
        <v>298.14999999999998</v>
      </c>
      <c r="E67" s="1">
        <v>7.2000000000000002E-5</v>
      </c>
      <c r="F67">
        <v>-4.1426675040000003</v>
      </c>
      <c r="G67" t="s">
        <v>14</v>
      </c>
      <c r="H67" t="s">
        <v>11</v>
      </c>
      <c r="I67">
        <f t="shared" ref="I67:I130" ca="1" si="4">F67*SQRT(0.862321) + RAND()*SQRT(1-0.862321)*M67</f>
        <v>-3.2450284955745694</v>
      </c>
      <c r="J67">
        <f t="shared" ref="J67:J130" ca="1" si="5">POWER(10,I67)</f>
        <v>5.6881560764493694E-4</v>
      </c>
      <c r="K67">
        <f t="shared" ref="K67:K130" ca="1" si="6">(F67-I67)^2</f>
        <v>0.80575578944699078</v>
      </c>
      <c r="L67">
        <f t="shared" ref="L67:L130" si="7">(F67+5.03559)^2</f>
        <v>0.79731058386286957</v>
      </c>
      <c r="M67">
        <v>2.2567085658263988</v>
      </c>
    </row>
    <row r="68" spans="1:13" x14ac:dyDescent="0.3">
      <c r="A68">
        <v>327</v>
      </c>
      <c r="B68" t="s">
        <v>124</v>
      </c>
      <c r="C68" t="s">
        <v>43</v>
      </c>
      <c r="D68">
        <v>298.14999999999998</v>
      </c>
      <c r="E68" s="1">
        <v>2.3799999999999999E-7</v>
      </c>
      <c r="F68">
        <v>-6.6234230429999998</v>
      </c>
      <c r="G68" t="s">
        <v>14</v>
      </c>
      <c r="H68" t="s">
        <v>11</v>
      </c>
      <c r="I68">
        <f t="shared" ca="1" si="4"/>
        <v>-5.6564323909829639</v>
      </c>
      <c r="J68">
        <f t="shared" ca="1" si="5"/>
        <v>2.2058074998834561E-6</v>
      </c>
      <c r="K68">
        <f t="shared" ca="1" si="6"/>
        <v>0.93507092108833223</v>
      </c>
      <c r="L68">
        <f t="shared" si="7"/>
        <v>2.5212137724426391</v>
      </c>
      <c r="M68">
        <v>2.2567085658263988</v>
      </c>
    </row>
    <row r="69" spans="1:13" x14ac:dyDescent="0.3">
      <c r="A69">
        <v>332</v>
      </c>
      <c r="B69" t="s">
        <v>125</v>
      </c>
      <c r="C69" t="s">
        <v>126</v>
      </c>
      <c r="D69">
        <v>298.14999999999998</v>
      </c>
      <c r="E69" s="1">
        <v>1.2999999999999999E-5</v>
      </c>
      <c r="F69">
        <v>-4.8860566480000003</v>
      </c>
      <c r="G69" t="s">
        <v>14</v>
      </c>
      <c r="H69" t="s">
        <v>11</v>
      </c>
      <c r="I69">
        <f t="shared" ca="1" si="4"/>
        <v>-4.4251563307005224</v>
      </c>
      <c r="J69">
        <f t="shared" ca="1" si="5"/>
        <v>3.7570214042127292E-5</v>
      </c>
      <c r="K69">
        <f t="shared" ca="1" si="6"/>
        <v>0.21242910248675939</v>
      </c>
      <c r="L69">
        <f t="shared" si="7"/>
        <v>2.2360223360355824E-2</v>
      </c>
      <c r="M69">
        <v>2.2567085658263988</v>
      </c>
    </row>
    <row r="70" spans="1:13" x14ac:dyDescent="0.3">
      <c r="A70">
        <v>333</v>
      </c>
      <c r="B70" t="s">
        <v>127</v>
      </c>
      <c r="C70" t="s">
        <v>128</v>
      </c>
      <c r="D70">
        <v>298.14999999999998</v>
      </c>
      <c r="E70" s="1">
        <v>2.4600000000000002E-4</v>
      </c>
      <c r="F70">
        <v>-3.6090648930000002</v>
      </c>
      <c r="G70" t="s">
        <v>14</v>
      </c>
      <c r="H70" t="s">
        <v>11</v>
      </c>
      <c r="I70">
        <f t="shared" ca="1" si="4"/>
        <v>-2.6502960749819771</v>
      </c>
      <c r="J70">
        <f t="shared" ca="1" si="5"/>
        <v>2.2371954377782433E-3</v>
      </c>
      <c r="K70">
        <f t="shared" ca="1" si="6"/>
        <v>0.91923764640367722</v>
      </c>
      <c r="L70">
        <f t="shared" si="7"/>
        <v>2.0349738809013607</v>
      </c>
      <c r="M70">
        <v>2.2567085658263988</v>
      </c>
    </row>
    <row r="71" spans="1:13" x14ac:dyDescent="0.3">
      <c r="A71">
        <v>334</v>
      </c>
      <c r="B71" t="s">
        <v>129</v>
      </c>
      <c r="C71" t="s">
        <v>128</v>
      </c>
      <c r="D71">
        <v>298.14999999999998</v>
      </c>
      <c r="E71" s="1">
        <v>8.8000000000000003E-4</v>
      </c>
      <c r="F71">
        <v>-3.0555173280000001</v>
      </c>
      <c r="G71" t="s">
        <v>14</v>
      </c>
      <c r="H71" t="s">
        <v>11</v>
      </c>
      <c r="I71">
        <f t="shared" ca="1" si="4"/>
        <v>-2.4906864119286909</v>
      </c>
      <c r="J71">
        <f t="shared" ca="1" si="5"/>
        <v>3.2308261403996784E-3</v>
      </c>
      <c r="K71">
        <f t="shared" ca="1" si="6"/>
        <v>0.31903396374995435</v>
      </c>
      <c r="L71">
        <f t="shared" si="7"/>
        <v>3.9206877864012193</v>
      </c>
      <c r="M71">
        <v>2.2567085658263988</v>
      </c>
    </row>
    <row r="72" spans="1:13" x14ac:dyDescent="0.3">
      <c r="A72">
        <v>335</v>
      </c>
      <c r="B72" t="s">
        <v>130</v>
      </c>
      <c r="C72" t="s">
        <v>128</v>
      </c>
      <c r="D72">
        <v>298.14999999999998</v>
      </c>
      <c r="E72" s="1">
        <v>5.6800000000000004E-4</v>
      </c>
      <c r="F72">
        <v>-3.2456516639999999</v>
      </c>
      <c r="G72" t="s">
        <v>14</v>
      </c>
      <c r="H72" t="s">
        <v>11</v>
      </c>
      <c r="I72">
        <f t="shared" ca="1" si="4"/>
        <v>-2.8379958530368774</v>
      </c>
      <c r="J72">
        <f t="shared" ca="1" si="5"/>
        <v>1.4521254834836471E-3</v>
      </c>
      <c r="K72">
        <f t="shared" ca="1" si="6"/>
        <v>0.16618326021200108</v>
      </c>
      <c r="L72">
        <f t="shared" si="7"/>
        <v>3.2038792466824493</v>
      </c>
      <c r="M72">
        <v>2.2567085658263988</v>
      </c>
    </row>
    <row r="73" spans="1:13" x14ac:dyDescent="0.3">
      <c r="A73">
        <v>336</v>
      </c>
      <c r="B73" t="s">
        <v>131</v>
      </c>
      <c r="C73" t="s">
        <v>128</v>
      </c>
      <c r="D73">
        <v>298.14999999999998</v>
      </c>
      <c r="E73" s="1">
        <v>1.5799999999999999E-4</v>
      </c>
      <c r="F73">
        <v>-3.801342913</v>
      </c>
      <c r="G73" t="s">
        <v>14</v>
      </c>
      <c r="H73" t="s">
        <v>11</v>
      </c>
      <c r="I73">
        <f t="shared" ca="1" si="4"/>
        <v>-3.3738024874415635</v>
      </c>
      <c r="J73">
        <f t="shared" ca="1" si="5"/>
        <v>4.2286088321946008E-4</v>
      </c>
      <c r="K73">
        <f t="shared" ca="1" si="6"/>
        <v>0.18279081548668899</v>
      </c>
      <c r="L73">
        <f t="shared" si="7"/>
        <v>1.5233658717679854</v>
      </c>
      <c r="M73">
        <v>2.2567085658263988</v>
      </c>
    </row>
    <row r="74" spans="1:13" x14ac:dyDescent="0.3">
      <c r="A74">
        <v>337</v>
      </c>
      <c r="B74" t="s">
        <v>132</v>
      </c>
      <c r="C74" t="s">
        <v>128</v>
      </c>
      <c r="D74">
        <v>298.14999999999998</v>
      </c>
      <c r="E74" s="1">
        <v>1.2E-4</v>
      </c>
      <c r="F74">
        <v>-3.9208187539999999</v>
      </c>
      <c r="G74" t="s">
        <v>14</v>
      </c>
      <c r="H74" t="s">
        <v>11</v>
      </c>
      <c r="I74">
        <f t="shared" ca="1" si="4"/>
        <v>-3.2872710081511687</v>
      </c>
      <c r="J74">
        <f t="shared" ca="1" si="5"/>
        <v>5.1609421600124069E-4</v>
      </c>
      <c r="K74">
        <f t="shared" ca="1" si="6"/>
        <v>0.40138274627013526</v>
      </c>
      <c r="L74">
        <f t="shared" si="7"/>
        <v>1.2427149309083927</v>
      </c>
      <c r="M74">
        <v>2.2567085658263988</v>
      </c>
    </row>
    <row r="75" spans="1:13" x14ac:dyDescent="0.3">
      <c r="A75">
        <v>339</v>
      </c>
      <c r="B75" t="s">
        <v>133</v>
      </c>
      <c r="C75" t="s">
        <v>128</v>
      </c>
      <c r="D75">
        <v>298.14999999999998</v>
      </c>
      <c r="E75" s="1">
        <v>1.0000000000000001E-5</v>
      </c>
      <c r="F75">
        <v>-5</v>
      </c>
      <c r="G75" t="s">
        <v>14</v>
      </c>
      <c r="H75" t="s">
        <v>11</v>
      </c>
      <c r="I75">
        <f t="shared" ca="1" si="4"/>
        <v>-4.123187852317427</v>
      </c>
      <c r="J75">
        <f t="shared" ca="1" si="5"/>
        <v>7.5302977330362776E-5</v>
      </c>
      <c r="K75">
        <f t="shared" ca="1" si="6"/>
        <v>0.76879954232372616</v>
      </c>
      <c r="L75">
        <f t="shared" si="7"/>
        <v>1.2666481000000007E-3</v>
      </c>
      <c r="M75">
        <v>2.2567085658263988</v>
      </c>
    </row>
    <row r="76" spans="1:13" x14ac:dyDescent="0.3">
      <c r="A76">
        <v>340</v>
      </c>
      <c r="B76" t="s">
        <v>134</v>
      </c>
      <c r="C76" t="s">
        <v>128</v>
      </c>
      <c r="D76">
        <v>298.14999999999998</v>
      </c>
      <c r="E76" s="1">
        <v>5.5999999999999999E-8</v>
      </c>
      <c r="F76">
        <v>-7.2518119729999997</v>
      </c>
      <c r="G76" t="s">
        <v>14</v>
      </c>
      <c r="H76" t="s">
        <v>11</v>
      </c>
      <c r="I76">
        <f t="shared" ca="1" si="4"/>
        <v>-6.4810221360266631</v>
      </c>
      <c r="J76">
        <f t="shared" ca="1" si="5"/>
        <v>3.303527025023565E-7</v>
      </c>
      <c r="K76">
        <f t="shared" ca="1" si="6"/>
        <v>0.59411697278138276</v>
      </c>
      <c r="L76">
        <f t="shared" si="7"/>
        <v>4.9116398336080112</v>
      </c>
      <c r="M76">
        <v>2.2567085658263988</v>
      </c>
    </row>
    <row r="77" spans="1:13" x14ac:dyDescent="0.3">
      <c r="A77">
        <v>341</v>
      </c>
      <c r="B77" t="s">
        <v>135</v>
      </c>
      <c r="C77" t="s">
        <v>128</v>
      </c>
      <c r="D77">
        <v>298.14999999999998</v>
      </c>
      <c r="E77" s="1">
        <v>3.1E-7</v>
      </c>
      <c r="F77">
        <v>-6.5086383059999999</v>
      </c>
      <c r="G77" t="s">
        <v>14</v>
      </c>
      <c r="H77" t="s">
        <v>11</v>
      </c>
      <c r="I77">
        <f t="shared" ca="1" si="4"/>
        <v>-5.9284297002038766</v>
      </c>
      <c r="J77">
        <f t="shared" ca="1" si="5"/>
        <v>1.1791533788425733E-6</v>
      </c>
      <c r="K77">
        <f t="shared" ca="1" si="6"/>
        <v>0.33664202623988121</v>
      </c>
      <c r="L77">
        <f t="shared" si="7"/>
        <v>2.1698713118094695</v>
      </c>
      <c r="M77">
        <v>2.2567085658263988</v>
      </c>
    </row>
    <row r="78" spans="1:13" x14ac:dyDescent="0.3">
      <c r="A78">
        <v>342</v>
      </c>
      <c r="B78" t="s">
        <v>136</v>
      </c>
      <c r="C78" t="s">
        <v>128</v>
      </c>
      <c r="D78">
        <v>298.14999999999998</v>
      </c>
      <c r="E78" s="1">
        <v>8.4999999999999994E-8</v>
      </c>
      <c r="F78">
        <v>-7.0705810739999997</v>
      </c>
      <c r="G78" t="s">
        <v>14</v>
      </c>
      <c r="H78" t="s">
        <v>11</v>
      </c>
      <c r="I78">
        <f t="shared" ca="1" si="4"/>
        <v>-6.3543430469283599</v>
      </c>
      <c r="J78">
        <f t="shared" ca="1" si="5"/>
        <v>4.4223891217034404E-7</v>
      </c>
      <c r="K78">
        <f t="shared" ca="1" si="6"/>
        <v>0.51299691142347492</v>
      </c>
      <c r="L78">
        <f t="shared" si="7"/>
        <v>4.1411886712596724</v>
      </c>
      <c r="M78">
        <v>2.2567085658263988</v>
      </c>
    </row>
    <row r="79" spans="1:13" x14ac:dyDescent="0.3">
      <c r="A79">
        <v>343</v>
      </c>
      <c r="B79" t="s">
        <v>137</v>
      </c>
      <c r="C79" t="s">
        <v>128</v>
      </c>
      <c r="D79">
        <v>298.14999999999998</v>
      </c>
      <c r="E79" s="1">
        <v>6.1999999999999999E-8</v>
      </c>
      <c r="F79">
        <v>-7.2076083110000004</v>
      </c>
      <c r="G79" t="s">
        <v>14</v>
      </c>
      <c r="H79" t="s">
        <v>11</v>
      </c>
      <c r="I79">
        <f t="shared" ca="1" si="4"/>
        <v>-6.395938717742812</v>
      </c>
      <c r="J79">
        <f t="shared" ca="1" si="5"/>
        <v>4.018475105910168E-7</v>
      </c>
      <c r="K79">
        <f t="shared" ca="1" si="6"/>
        <v>0.65880752861828973</v>
      </c>
      <c r="L79">
        <f t="shared" si="7"/>
        <v>4.7176635433192944</v>
      </c>
      <c r="M79">
        <v>2.2567085658263988</v>
      </c>
    </row>
    <row r="80" spans="1:13" x14ac:dyDescent="0.3">
      <c r="A80">
        <v>346</v>
      </c>
      <c r="B80" t="s">
        <v>138</v>
      </c>
      <c r="C80" t="s">
        <v>128</v>
      </c>
      <c r="D80">
        <v>298.14999999999998</v>
      </c>
      <c r="E80" s="1">
        <v>4.0000000000000001E-8</v>
      </c>
      <c r="F80">
        <v>-7.397940009</v>
      </c>
      <c r="G80" t="s">
        <v>14</v>
      </c>
      <c r="H80" t="s">
        <v>11</v>
      </c>
      <c r="I80">
        <f t="shared" ca="1" si="4"/>
        <v>-6.310660441863611</v>
      </c>
      <c r="J80">
        <f t="shared" ca="1" si="5"/>
        <v>4.8903456720831719E-7</v>
      </c>
      <c r="K80">
        <f t="shared" ca="1" si="6"/>
        <v>1.1821768571122935</v>
      </c>
      <c r="L80">
        <f t="shared" si="7"/>
        <v>5.5806975650222999</v>
      </c>
      <c r="M80">
        <v>2.2567085658263988</v>
      </c>
    </row>
    <row r="81" spans="1:13" x14ac:dyDescent="0.3">
      <c r="A81">
        <v>348</v>
      </c>
      <c r="B81" t="s">
        <v>139</v>
      </c>
      <c r="C81" t="s">
        <v>128</v>
      </c>
      <c r="D81">
        <v>298.14999999999998</v>
      </c>
      <c r="E81" s="1">
        <v>3.2000000000000002E-8</v>
      </c>
      <c r="F81">
        <v>-7.4948500219999996</v>
      </c>
      <c r="G81" t="s">
        <v>14</v>
      </c>
      <c r="H81" t="s">
        <v>11</v>
      </c>
      <c r="I81">
        <f t="shared" ca="1" si="4"/>
        <v>-6.1847217939824333</v>
      </c>
      <c r="J81">
        <f t="shared" ca="1" si="5"/>
        <v>6.535490775641734E-7</v>
      </c>
      <c r="K81">
        <f t="shared" ca="1" si="6"/>
        <v>1.7164359738484483</v>
      </c>
      <c r="L81">
        <f t="shared" si="7"/>
        <v>6.0479598558074388</v>
      </c>
      <c r="M81">
        <v>2.2567085658263988</v>
      </c>
    </row>
    <row r="82" spans="1:13" x14ac:dyDescent="0.3">
      <c r="A82">
        <v>358</v>
      </c>
      <c r="B82" t="s">
        <v>140</v>
      </c>
      <c r="C82" t="s">
        <v>141</v>
      </c>
      <c r="D82">
        <v>298.14999999999998</v>
      </c>
      <c r="E82" s="1">
        <v>3.9100000000000002E-4</v>
      </c>
      <c r="F82">
        <v>-3.4078232430000002</v>
      </c>
      <c r="G82" t="s">
        <v>14</v>
      </c>
      <c r="H82" t="s">
        <v>11</v>
      </c>
      <c r="I82">
        <f t="shared" ca="1" si="4"/>
        <v>-3.095437146649374</v>
      </c>
      <c r="J82">
        <f t="shared" ca="1" si="5"/>
        <v>8.0271772594037302E-4</v>
      </c>
      <c r="K82">
        <f t="shared" ca="1" si="6"/>
        <v>9.7585073193182714E-2</v>
      </c>
      <c r="L82">
        <f t="shared" si="7"/>
        <v>2.6496246151942966</v>
      </c>
      <c r="M82">
        <v>2.2567085658263988</v>
      </c>
    </row>
    <row r="83" spans="1:13" x14ac:dyDescent="0.3">
      <c r="A83">
        <v>359</v>
      </c>
      <c r="B83" t="s">
        <v>142</v>
      </c>
      <c r="C83" t="s">
        <v>141</v>
      </c>
      <c r="D83">
        <v>298.14999999999998</v>
      </c>
      <c r="E83" s="1">
        <v>1.47E-4</v>
      </c>
      <c r="F83">
        <v>-3.8326826650000001</v>
      </c>
      <c r="G83" t="s">
        <v>14</v>
      </c>
      <c r="H83" t="s">
        <v>11</v>
      </c>
      <c r="I83">
        <f t="shared" ca="1" si="4"/>
        <v>-3.2181838336891624</v>
      </c>
      <c r="J83">
        <f t="shared" ca="1" si="5"/>
        <v>6.0508469259704448E-4</v>
      </c>
      <c r="K83">
        <f t="shared" ca="1" si="6"/>
        <v>0.37760881368238536</v>
      </c>
      <c r="L83">
        <f t="shared" si="7"/>
        <v>1.446986056596802</v>
      </c>
      <c r="M83">
        <v>2.2567085658263988</v>
      </c>
    </row>
    <row r="84" spans="1:13" x14ac:dyDescent="0.3">
      <c r="A84">
        <v>360</v>
      </c>
      <c r="B84" t="s">
        <v>143</v>
      </c>
      <c r="C84" t="s">
        <v>141</v>
      </c>
      <c r="D84">
        <v>298.14999999999998</v>
      </c>
      <c r="E84" s="1">
        <v>3.5299999999999997E-5</v>
      </c>
      <c r="F84">
        <v>-4.4522252949999999</v>
      </c>
      <c r="G84" t="s">
        <v>14</v>
      </c>
      <c r="H84" t="s">
        <v>11</v>
      </c>
      <c r="I84">
        <f t="shared" ca="1" si="4"/>
        <v>-3.9807165417763222</v>
      </c>
      <c r="J84">
        <f t="shared" ca="1" si="5"/>
        <v>1.0454023167663293E-4</v>
      </c>
      <c r="K84">
        <f t="shared" ca="1" si="6"/>
        <v>0.22232050436654699</v>
      </c>
      <c r="L84">
        <f t="shared" si="7"/>
        <v>0.34031437903973721</v>
      </c>
      <c r="M84">
        <v>2.2567085658263988</v>
      </c>
    </row>
    <row r="85" spans="1:13" x14ac:dyDescent="0.3">
      <c r="A85">
        <v>361</v>
      </c>
      <c r="B85" t="s">
        <v>144</v>
      </c>
      <c r="C85" t="s">
        <v>145</v>
      </c>
      <c r="D85">
        <v>298.14999999999998</v>
      </c>
      <c r="E85" s="1">
        <v>3.6900000000000002E-5</v>
      </c>
      <c r="F85">
        <v>-4.4329736339999997</v>
      </c>
      <c r="G85" t="s">
        <v>14</v>
      </c>
      <c r="H85" t="s">
        <v>11</v>
      </c>
      <c r="I85">
        <f t="shared" ca="1" si="4"/>
        <v>-3.8127050964319302</v>
      </c>
      <c r="J85">
        <f t="shared" ca="1" si="5"/>
        <v>1.5391994643897214E-4</v>
      </c>
      <c r="K85">
        <f t="shared" ca="1" si="6"/>
        <v>0.38473305869683155</v>
      </c>
      <c r="L85">
        <f t="shared" si="7"/>
        <v>0.36314648457104637</v>
      </c>
      <c r="M85">
        <v>2.2567085658263988</v>
      </c>
    </row>
    <row r="86" spans="1:13" x14ac:dyDescent="0.3">
      <c r="A86">
        <v>362</v>
      </c>
      <c r="B86" t="s">
        <v>146</v>
      </c>
      <c r="C86" t="s">
        <v>147</v>
      </c>
      <c r="D86">
        <v>298.14999999999998</v>
      </c>
      <c r="E86" s="1">
        <v>1.2799999999999999E-5</v>
      </c>
      <c r="F86">
        <v>-4.8927900299999996</v>
      </c>
      <c r="G86" t="s">
        <v>14</v>
      </c>
      <c r="H86" t="s">
        <v>11</v>
      </c>
      <c r="I86">
        <f t="shared" ca="1" si="4"/>
        <v>-4.3055527087548464</v>
      </c>
      <c r="J86">
        <f t="shared" ca="1" si="5"/>
        <v>4.9482005275076211E-5</v>
      </c>
      <c r="K86">
        <f t="shared" ca="1" si="6"/>
        <v>0.34484767146318318</v>
      </c>
      <c r="L86">
        <f t="shared" si="7"/>
        <v>2.0391831432001028E-2</v>
      </c>
      <c r="M86">
        <v>2.2567085658263988</v>
      </c>
    </row>
    <row r="87" spans="1:13" x14ac:dyDescent="0.3">
      <c r="A87">
        <v>363</v>
      </c>
      <c r="B87" t="s">
        <v>148</v>
      </c>
      <c r="C87" t="s">
        <v>149</v>
      </c>
      <c r="D87">
        <v>298.14999999999998</v>
      </c>
      <c r="E87" s="1">
        <v>1.7000000000000001E-4</v>
      </c>
      <c r="F87">
        <v>-3.7695510790000002</v>
      </c>
      <c r="G87" t="s">
        <v>14</v>
      </c>
      <c r="H87" t="s">
        <v>11</v>
      </c>
      <c r="I87">
        <f t="shared" ca="1" si="4"/>
        <v>-2.8803843995950684</v>
      </c>
      <c r="J87">
        <f t="shared" ca="1" si="5"/>
        <v>1.3170904488983529E-3</v>
      </c>
      <c r="K87">
        <f t="shared" ca="1" si="6"/>
        <v>0.79061738376399271</v>
      </c>
      <c r="L87">
        <f t="shared" si="7"/>
        <v>1.6028545494868438</v>
      </c>
      <c r="M87">
        <v>2.2567085658263988</v>
      </c>
    </row>
    <row r="88" spans="1:13" x14ac:dyDescent="0.3">
      <c r="A88">
        <v>364</v>
      </c>
      <c r="B88" t="s">
        <v>150</v>
      </c>
      <c r="C88" t="s">
        <v>149</v>
      </c>
      <c r="D88">
        <v>298.14999999999998</v>
      </c>
      <c r="E88" s="1">
        <v>1.3200000000000001E-4</v>
      </c>
      <c r="F88">
        <v>-3.879426069</v>
      </c>
      <c r="G88" t="s">
        <v>14</v>
      </c>
      <c r="H88" t="s">
        <v>11</v>
      </c>
      <c r="I88">
        <f t="shared" ca="1" si="4"/>
        <v>-2.8569708349340774</v>
      </c>
      <c r="J88">
        <f t="shared" ca="1" si="5"/>
        <v>1.3900459766805551E-3</v>
      </c>
      <c r="K88">
        <f t="shared" ca="1" si="6"/>
        <v>1.0454147056688003</v>
      </c>
      <c r="L88">
        <f t="shared" si="7"/>
        <v>1.3367150353453729</v>
      </c>
      <c r="M88">
        <v>2.2567085658263988</v>
      </c>
    </row>
    <row r="89" spans="1:13" x14ac:dyDescent="0.3">
      <c r="A89">
        <v>365</v>
      </c>
      <c r="B89" t="s">
        <v>133</v>
      </c>
      <c r="C89" t="s">
        <v>149</v>
      </c>
      <c r="D89">
        <v>298.14999999999998</v>
      </c>
      <c r="E89" s="1">
        <v>1.4200000000000001E-4</v>
      </c>
      <c r="F89">
        <v>-3.847711656</v>
      </c>
      <c r="G89" t="s">
        <v>14</v>
      </c>
      <c r="H89" t="s">
        <v>11</v>
      </c>
      <c r="I89">
        <f t="shared" ca="1" si="4"/>
        <v>-3.4446539179031528</v>
      </c>
      <c r="J89">
        <f t="shared" ca="1" si="5"/>
        <v>3.5920806759648019E-4</v>
      </c>
      <c r="K89">
        <f t="shared" ca="1" si="6"/>
        <v>0.16245554023974668</v>
      </c>
      <c r="L89">
        <f t="shared" si="7"/>
        <v>1.4110549601441824</v>
      </c>
      <c r="M89">
        <v>2.2567085658263988</v>
      </c>
    </row>
    <row r="90" spans="1:13" x14ac:dyDescent="0.3">
      <c r="A90">
        <v>366</v>
      </c>
      <c r="B90" t="s">
        <v>151</v>
      </c>
      <c r="C90" t="s">
        <v>149</v>
      </c>
      <c r="D90">
        <v>298.14999999999998</v>
      </c>
      <c r="E90" s="1">
        <v>1.4200000000000001E-4</v>
      </c>
      <c r="F90">
        <v>-3.847711656</v>
      </c>
      <c r="G90" t="s">
        <v>14</v>
      </c>
      <c r="H90" t="s">
        <v>11</v>
      </c>
      <c r="I90">
        <f t="shared" ca="1" si="4"/>
        <v>-2.808816779174037</v>
      </c>
      <c r="J90">
        <f t="shared" ca="1" si="5"/>
        <v>1.5530420715540187E-3</v>
      </c>
      <c r="K90">
        <f t="shared" ca="1" si="6"/>
        <v>1.0793025650952326</v>
      </c>
      <c r="L90">
        <f t="shared" si="7"/>
        <v>1.4110549601441824</v>
      </c>
      <c r="M90">
        <v>2.2567085658263988</v>
      </c>
    </row>
    <row r="91" spans="1:13" x14ac:dyDescent="0.3">
      <c r="A91">
        <v>367</v>
      </c>
      <c r="B91" t="s">
        <v>152</v>
      </c>
      <c r="C91" t="s">
        <v>149</v>
      </c>
      <c r="D91">
        <v>298.14999999999998</v>
      </c>
      <c r="E91" s="1">
        <v>1.07E-4</v>
      </c>
      <c r="F91">
        <v>-3.9706162219999999</v>
      </c>
      <c r="G91" t="s">
        <v>14</v>
      </c>
      <c r="H91" t="s">
        <v>11</v>
      </c>
      <c r="I91">
        <f t="shared" ca="1" si="4"/>
        <v>-3.2927388419078008</v>
      </c>
      <c r="J91">
        <f t="shared" ca="1" si="5"/>
        <v>5.0963724354394148E-4</v>
      </c>
      <c r="K91">
        <f t="shared" ca="1" si="6"/>
        <v>0.45951774244066379</v>
      </c>
      <c r="L91">
        <f t="shared" si="7"/>
        <v>1.1341691478275937</v>
      </c>
      <c r="M91">
        <v>2.2567085658263988</v>
      </c>
    </row>
    <row r="92" spans="1:13" x14ac:dyDescent="0.3">
      <c r="A92">
        <v>368</v>
      </c>
      <c r="B92" t="s">
        <v>153</v>
      </c>
      <c r="C92" t="s">
        <v>149</v>
      </c>
      <c r="D92">
        <v>298.14999999999998</v>
      </c>
      <c r="E92" s="1">
        <v>9.7899999999999994E-5</v>
      </c>
      <c r="F92">
        <v>-4.0092173080000002</v>
      </c>
      <c r="G92" t="s">
        <v>14</v>
      </c>
      <c r="H92" t="s">
        <v>11</v>
      </c>
      <c r="I92">
        <f t="shared" ca="1" si="4"/>
        <v>-3.6081910892402651</v>
      </c>
      <c r="J92">
        <f t="shared" ca="1" si="5"/>
        <v>2.4649545204866191E-4</v>
      </c>
      <c r="K92">
        <f t="shared" ca="1" si="6"/>
        <v>0.16082202813273092</v>
      </c>
      <c r="L92">
        <f t="shared" si="7"/>
        <v>1.0534409028833265</v>
      </c>
      <c r="M92">
        <v>2.2567085658263988</v>
      </c>
    </row>
    <row r="93" spans="1:13" x14ac:dyDescent="0.3">
      <c r="A93">
        <v>369</v>
      </c>
      <c r="B93" t="s">
        <v>154</v>
      </c>
      <c r="C93" t="s">
        <v>149</v>
      </c>
      <c r="D93">
        <v>298.14999999999998</v>
      </c>
      <c r="E93" s="1">
        <v>3.1900000000000003E-5</v>
      </c>
      <c r="F93">
        <v>-4.4962093169999999</v>
      </c>
      <c r="G93" t="s">
        <v>14</v>
      </c>
      <c r="H93" t="s">
        <v>11</v>
      </c>
      <c r="I93">
        <f t="shared" ca="1" si="4"/>
        <v>-3.968565155157846</v>
      </c>
      <c r="J93">
        <f t="shared" ca="1" si="5"/>
        <v>1.0750653013043824E-4</v>
      </c>
      <c r="K93">
        <f t="shared" ca="1" si="6"/>
        <v>0.27840836152610909</v>
      </c>
      <c r="L93">
        <f t="shared" si="7"/>
        <v>0.29093152119354659</v>
      </c>
      <c r="M93">
        <v>2.2567085658263988</v>
      </c>
    </row>
    <row r="94" spans="1:13" x14ac:dyDescent="0.3">
      <c r="A94">
        <v>370</v>
      </c>
      <c r="B94" t="s">
        <v>155</v>
      </c>
      <c r="C94" t="s">
        <v>149</v>
      </c>
      <c r="D94">
        <v>298.14999999999998</v>
      </c>
      <c r="E94" s="1">
        <v>9.1799999999999995E-5</v>
      </c>
      <c r="F94">
        <v>-4.0371573190000003</v>
      </c>
      <c r="G94" t="s">
        <v>14</v>
      </c>
      <c r="H94" t="s">
        <v>11</v>
      </c>
      <c r="I94">
        <f t="shared" ca="1" si="4"/>
        <v>-3.1408981308684609</v>
      </c>
      <c r="J94">
        <f t="shared" ca="1" si="5"/>
        <v>7.2293935806604006E-4</v>
      </c>
      <c r="K94">
        <f t="shared" ca="1" si="6"/>
        <v>0.80328053231020613</v>
      </c>
      <c r="L94">
        <f t="shared" si="7"/>
        <v>0.9968678184888472</v>
      </c>
      <c r="M94">
        <v>2.2567085658263988</v>
      </c>
    </row>
    <row r="95" spans="1:13" x14ac:dyDescent="0.3">
      <c r="A95">
        <v>371</v>
      </c>
      <c r="B95" t="s">
        <v>156</v>
      </c>
      <c r="C95" t="s">
        <v>149</v>
      </c>
      <c r="D95">
        <v>298.14999999999998</v>
      </c>
      <c r="E95" s="1">
        <v>5.8600000000000001E-5</v>
      </c>
      <c r="F95">
        <v>-4.2321023840000001</v>
      </c>
      <c r="G95" t="s">
        <v>14</v>
      </c>
      <c r="H95" t="s">
        <v>11</v>
      </c>
      <c r="I95">
        <f t="shared" ca="1" si="4"/>
        <v>-3.5649207564952952</v>
      </c>
      <c r="J95">
        <f t="shared" ca="1" si="5"/>
        <v>2.7231981508610709E-4</v>
      </c>
      <c r="K95">
        <f t="shared" ca="1" si="6"/>
        <v>0.44513132407982681</v>
      </c>
      <c r="L95">
        <f t="shared" si="7"/>
        <v>0.64559234906536345</v>
      </c>
      <c r="M95">
        <v>2.2567085658263988</v>
      </c>
    </row>
    <row r="96" spans="1:13" x14ac:dyDescent="0.3">
      <c r="A96">
        <v>372</v>
      </c>
      <c r="B96" t="s">
        <v>157</v>
      </c>
      <c r="C96" t="s">
        <v>149</v>
      </c>
      <c r="D96">
        <v>298.14999999999998</v>
      </c>
      <c r="E96" s="1">
        <v>8.3200000000000003E-5</v>
      </c>
      <c r="F96">
        <v>-4.0798766740000003</v>
      </c>
      <c r="G96" t="s">
        <v>14</v>
      </c>
      <c r="H96" t="s">
        <v>11</v>
      </c>
      <c r="I96">
        <f t="shared" ca="1" si="4"/>
        <v>-3.5377960533031185</v>
      </c>
      <c r="J96">
        <f t="shared" ca="1" si="5"/>
        <v>2.8987045131708745E-4</v>
      </c>
      <c r="K96">
        <f t="shared" ca="1" si="6"/>
        <v>0.29385139933511661</v>
      </c>
      <c r="L96">
        <f t="shared" si="7"/>
        <v>0.91338796149398171</v>
      </c>
      <c r="M96">
        <v>2.2567085658263988</v>
      </c>
    </row>
    <row r="97" spans="1:13" x14ac:dyDescent="0.3">
      <c r="A97">
        <v>373</v>
      </c>
      <c r="B97" t="s">
        <v>158</v>
      </c>
      <c r="C97" t="s">
        <v>149</v>
      </c>
      <c r="D97">
        <v>298.14999999999998</v>
      </c>
      <c r="E97" s="1">
        <v>5.8799999999999999E-5</v>
      </c>
      <c r="F97">
        <v>-4.2306226740000001</v>
      </c>
      <c r="G97" t="s">
        <v>14</v>
      </c>
      <c r="H97" t="s">
        <v>11</v>
      </c>
      <c r="I97">
        <f t="shared" ca="1" si="4"/>
        <v>-3.7089980364384432</v>
      </c>
      <c r="J97">
        <f t="shared" ca="1" si="5"/>
        <v>1.9543482918869701E-4</v>
      </c>
      <c r="K97">
        <f t="shared" ca="1" si="6"/>
        <v>0.27209226251122565</v>
      </c>
      <c r="L97">
        <f t="shared" si="7"/>
        <v>0.64797239592759004</v>
      </c>
      <c r="M97">
        <v>2.2567085658263988</v>
      </c>
    </row>
    <row r="98" spans="1:13" x14ac:dyDescent="0.3">
      <c r="A98">
        <v>374</v>
      </c>
      <c r="B98" t="s">
        <v>159</v>
      </c>
      <c r="C98" t="s">
        <v>149</v>
      </c>
      <c r="D98">
        <v>298.14999999999998</v>
      </c>
      <c r="E98" s="1">
        <v>2.09E-5</v>
      </c>
      <c r="F98">
        <v>-4.6798537140000001</v>
      </c>
      <c r="G98" t="s">
        <v>14</v>
      </c>
      <c r="H98" t="s">
        <v>11</v>
      </c>
      <c r="I98">
        <f t="shared" ca="1" si="4"/>
        <v>-4.1000775452855791</v>
      </c>
      <c r="J98">
        <f t="shared" ca="1" si="5"/>
        <v>7.941864164108158E-5</v>
      </c>
      <c r="K98">
        <f t="shared" ca="1" si="6"/>
        <v>0.3361404058091727</v>
      </c>
      <c r="L98">
        <f t="shared" si="7"/>
        <v>0.12654830517707377</v>
      </c>
      <c r="M98">
        <v>2.2567085658263988</v>
      </c>
    </row>
    <row r="99" spans="1:13" x14ac:dyDescent="0.3">
      <c r="A99">
        <v>375</v>
      </c>
      <c r="B99" t="s">
        <v>160</v>
      </c>
      <c r="C99" t="s">
        <v>149</v>
      </c>
      <c r="D99">
        <v>298.14999999999998</v>
      </c>
      <c r="E99" s="1">
        <v>6.1699999999999995E-5</v>
      </c>
      <c r="F99">
        <v>-4.2097148359999998</v>
      </c>
      <c r="G99" t="s">
        <v>14</v>
      </c>
      <c r="H99" t="s">
        <v>11</v>
      </c>
      <c r="I99">
        <f t="shared" ca="1" si="4"/>
        <v>-3.7787955151284529</v>
      </c>
      <c r="J99">
        <f t="shared" ca="1" si="5"/>
        <v>1.6641960423448204E-4</v>
      </c>
      <c r="K99">
        <f t="shared" ca="1" si="6"/>
        <v>0.18569146110039522</v>
      </c>
      <c r="L99">
        <f t="shared" si="7"/>
        <v>0.68206978651202721</v>
      </c>
      <c r="M99">
        <v>2.2567085658263988</v>
      </c>
    </row>
    <row r="100" spans="1:13" x14ac:dyDescent="0.3">
      <c r="A100">
        <v>376</v>
      </c>
      <c r="B100" t="s">
        <v>161</v>
      </c>
      <c r="C100" t="s">
        <v>149</v>
      </c>
      <c r="D100">
        <v>298.14999999999998</v>
      </c>
      <c r="E100" s="1">
        <v>5.3999999999999998E-5</v>
      </c>
      <c r="F100">
        <v>-4.2676062400000001</v>
      </c>
      <c r="G100" t="s">
        <v>14</v>
      </c>
      <c r="H100" t="s">
        <v>11</v>
      </c>
      <c r="I100">
        <f t="shared" ca="1" si="4"/>
        <v>-3.7782129268096232</v>
      </c>
      <c r="J100">
        <f t="shared" ca="1" si="5"/>
        <v>1.6664299914410558E-4</v>
      </c>
      <c r="K100">
        <f t="shared" ca="1" si="6"/>
        <v>0.23950581499545437</v>
      </c>
      <c r="L100">
        <f t="shared" si="7"/>
        <v>0.58979905562373747</v>
      </c>
      <c r="M100">
        <v>2.2567085658263988</v>
      </c>
    </row>
    <row r="101" spans="1:13" x14ac:dyDescent="0.3">
      <c r="A101">
        <v>377</v>
      </c>
      <c r="B101" t="s">
        <v>162</v>
      </c>
      <c r="C101" t="s">
        <v>149</v>
      </c>
      <c r="D101">
        <v>298.14999999999998</v>
      </c>
      <c r="E101" s="1">
        <v>3.5599999999999998E-5</v>
      </c>
      <c r="F101">
        <v>-4.4485500020000002</v>
      </c>
      <c r="G101" t="s">
        <v>14</v>
      </c>
      <c r="H101" t="s">
        <v>11</v>
      </c>
      <c r="I101">
        <f t="shared" ca="1" si="4"/>
        <v>-3.3827300197970196</v>
      </c>
      <c r="J101">
        <f t="shared" ca="1" si="5"/>
        <v>4.1425711871938362E-4</v>
      </c>
      <c r="K101">
        <f t="shared" ca="1" si="6"/>
        <v>1.1359722344631618</v>
      </c>
      <c r="L101">
        <f t="shared" si="7"/>
        <v>0.3446159592518398</v>
      </c>
      <c r="M101">
        <v>2.2567085658263988</v>
      </c>
    </row>
    <row r="102" spans="1:13" x14ac:dyDescent="0.3">
      <c r="A102">
        <v>378</v>
      </c>
      <c r="B102" t="s">
        <v>163</v>
      </c>
      <c r="C102" t="s">
        <v>149</v>
      </c>
      <c r="D102">
        <v>298.14999999999998</v>
      </c>
      <c r="E102" s="1">
        <v>3.1900000000000003E-5</v>
      </c>
      <c r="F102">
        <v>-4.4962093169999999</v>
      </c>
      <c r="G102" t="s">
        <v>14</v>
      </c>
      <c r="H102" t="s">
        <v>11</v>
      </c>
      <c r="I102">
        <f t="shared" ca="1" si="4"/>
        <v>-3.5871443917120316</v>
      </c>
      <c r="J102">
        <f t="shared" ca="1" si="5"/>
        <v>2.5873525441586864E-4</v>
      </c>
      <c r="K102">
        <f t="shared" ca="1" si="6"/>
        <v>0.82639903838881945</v>
      </c>
      <c r="L102">
        <f t="shared" si="7"/>
        <v>0.29093152119354659</v>
      </c>
      <c r="M102">
        <v>2.2567085658263988</v>
      </c>
    </row>
    <row r="103" spans="1:13" x14ac:dyDescent="0.3">
      <c r="A103">
        <v>379</v>
      </c>
      <c r="B103" t="s">
        <v>164</v>
      </c>
      <c r="C103" t="s">
        <v>149</v>
      </c>
      <c r="D103">
        <v>298.14999999999998</v>
      </c>
      <c r="E103" s="1">
        <v>2.4499999999999999E-5</v>
      </c>
      <c r="F103">
        <v>-4.6108339159999998</v>
      </c>
      <c r="G103" t="s">
        <v>14</v>
      </c>
      <c r="H103" t="s">
        <v>11</v>
      </c>
      <c r="I103">
        <f t="shared" ca="1" si="4"/>
        <v>-3.6503129458536328</v>
      </c>
      <c r="J103">
        <f t="shared" ca="1" si="5"/>
        <v>2.2371085319906276E-4</v>
      </c>
      <c r="K103">
        <f t="shared" ca="1" si="6"/>
        <v>0.92260053409091813</v>
      </c>
      <c r="L103">
        <f t="shared" si="7"/>
        <v>0.18041773089501523</v>
      </c>
      <c r="M103">
        <v>2.2567085658263988</v>
      </c>
    </row>
    <row r="104" spans="1:13" x14ac:dyDescent="0.3">
      <c r="A104">
        <v>380</v>
      </c>
      <c r="B104" t="s">
        <v>165</v>
      </c>
      <c r="C104" t="s">
        <v>149</v>
      </c>
      <c r="D104">
        <v>298.14999999999998</v>
      </c>
      <c r="E104" s="1">
        <v>2.0599999999999999E-5</v>
      </c>
      <c r="F104">
        <v>-4.6861327800000003</v>
      </c>
      <c r="G104" t="s">
        <v>14</v>
      </c>
      <c r="H104" t="s">
        <v>11</v>
      </c>
      <c r="I104">
        <f t="shared" ca="1" si="4"/>
        <v>-3.6505452790396471</v>
      </c>
      <c r="J104">
        <f t="shared" ca="1" si="5"/>
        <v>2.2359120729671124E-4</v>
      </c>
      <c r="K104">
        <f t="shared" ca="1" si="6"/>
        <v>1.0724414721453097</v>
      </c>
      <c r="L104">
        <f t="shared" si="7"/>
        <v>0.12212034861012817</v>
      </c>
      <c r="M104">
        <v>2.2567085658263988</v>
      </c>
    </row>
    <row r="105" spans="1:13" x14ac:dyDescent="0.3">
      <c r="A105">
        <v>381</v>
      </c>
      <c r="B105" t="s">
        <v>166</v>
      </c>
      <c r="C105" t="s">
        <v>149</v>
      </c>
      <c r="D105">
        <v>298.14999999999998</v>
      </c>
      <c r="E105" s="1">
        <v>9.9999999999999995E-7</v>
      </c>
      <c r="F105">
        <v>-6</v>
      </c>
      <c r="G105" t="s">
        <v>14</v>
      </c>
      <c r="H105" t="s">
        <v>11</v>
      </c>
      <c r="I105">
        <f t="shared" ca="1" si="4"/>
        <v>-5.2692985738495031</v>
      </c>
      <c r="J105">
        <f t="shared" ca="1" si="5"/>
        <v>5.3789985368719529E-6</v>
      </c>
      <c r="K105">
        <f t="shared" ca="1" si="6"/>
        <v>0.53392457417837014</v>
      </c>
      <c r="L105">
        <f t="shared" si="7"/>
        <v>0.93008664809999997</v>
      </c>
      <c r="M105">
        <v>2.2567085658263988</v>
      </c>
    </row>
    <row r="106" spans="1:13" x14ac:dyDescent="0.3">
      <c r="A106">
        <v>382</v>
      </c>
      <c r="B106" t="s">
        <v>167</v>
      </c>
      <c r="C106" t="s">
        <v>149</v>
      </c>
      <c r="D106">
        <v>298.14999999999998</v>
      </c>
      <c r="E106" s="1">
        <v>5.2600000000000002E-7</v>
      </c>
      <c r="F106">
        <v>-6.279014256</v>
      </c>
      <c r="G106" t="s">
        <v>14</v>
      </c>
      <c r="H106" t="s">
        <v>11</v>
      </c>
      <c r="I106">
        <f t="shared" ca="1" si="4"/>
        <v>-5.5108929277580208</v>
      </c>
      <c r="J106">
        <f t="shared" ca="1" si="5"/>
        <v>3.0839481822076953E-6</v>
      </c>
      <c r="K106">
        <f t="shared" ca="1" si="6"/>
        <v>0.59001037490022235</v>
      </c>
      <c r="L106">
        <f t="shared" si="7"/>
        <v>1.5461038804091534</v>
      </c>
      <c r="M106">
        <v>2.2567085658263988</v>
      </c>
    </row>
    <row r="107" spans="1:13" x14ac:dyDescent="0.3">
      <c r="A107">
        <v>383</v>
      </c>
      <c r="B107" t="s">
        <v>168</v>
      </c>
      <c r="C107" t="s">
        <v>149</v>
      </c>
      <c r="D107">
        <v>298.14999999999998</v>
      </c>
      <c r="E107" s="1">
        <v>2.5400000000000002E-7</v>
      </c>
      <c r="F107">
        <v>-6.5951662830000002</v>
      </c>
      <c r="G107" t="s">
        <v>14</v>
      </c>
      <c r="H107" t="s">
        <v>11</v>
      </c>
      <c r="I107">
        <f t="shared" ca="1" si="4"/>
        <v>-5.7924657284014129</v>
      </c>
      <c r="J107">
        <f t="shared" ca="1" si="5"/>
        <v>1.6126282800908414E-6</v>
      </c>
      <c r="K107">
        <f t="shared" ca="1" si="6"/>
        <v>0.64432818035287953</v>
      </c>
      <c r="L107">
        <f t="shared" si="7"/>
        <v>2.4322781824960966</v>
      </c>
      <c r="M107">
        <v>2.2567085658263988</v>
      </c>
    </row>
    <row r="108" spans="1:13" x14ac:dyDescent="0.3">
      <c r="A108">
        <v>384</v>
      </c>
      <c r="B108" t="s">
        <v>169</v>
      </c>
      <c r="C108" t="s">
        <v>149</v>
      </c>
      <c r="D108">
        <v>298.14999999999998</v>
      </c>
      <c r="E108" s="1">
        <v>1.18E-7</v>
      </c>
      <c r="F108">
        <v>-6.9281179929999999</v>
      </c>
      <c r="G108" t="s">
        <v>14</v>
      </c>
      <c r="H108" t="s">
        <v>11</v>
      </c>
      <c r="I108">
        <f t="shared" ca="1" si="4"/>
        <v>-6.0599833884398233</v>
      </c>
      <c r="J108">
        <f t="shared" ca="1" si="5"/>
        <v>8.7099690454189832E-7</v>
      </c>
      <c r="K108">
        <f t="shared" ca="1" si="6"/>
        <v>0.75365769163485408</v>
      </c>
      <c r="L108">
        <f t="shared" si="7"/>
        <v>3.5816622042886075</v>
      </c>
      <c r="M108">
        <v>2.2567085658263988</v>
      </c>
    </row>
    <row r="109" spans="1:13" x14ac:dyDescent="0.3">
      <c r="A109">
        <v>385</v>
      </c>
      <c r="B109" t="s">
        <v>170</v>
      </c>
      <c r="C109" t="s">
        <v>149</v>
      </c>
      <c r="D109">
        <v>298.14999999999998</v>
      </c>
      <c r="E109" s="1">
        <v>9.3499999999999997E-8</v>
      </c>
      <c r="F109">
        <v>-7.0291883889999998</v>
      </c>
      <c r="G109" t="s">
        <v>14</v>
      </c>
      <c r="H109" t="s">
        <v>11</v>
      </c>
      <c r="I109">
        <f t="shared" ca="1" si="4"/>
        <v>-5.8255184134374254</v>
      </c>
      <c r="J109">
        <f t="shared" ca="1" si="5"/>
        <v>1.4944506785463526E-6</v>
      </c>
      <c r="K109">
        <f t="shared" ca="1" si="6"/>
        <v>1.4488214100708083</v>
      </c>
      <c r="L109">
        <f t="shared" si="7"/>
        <v>3.9744345366233942</v>
      </c>
      <c r="M109">
        <v>2.2567085658263988</v>
      </c>
    </row>
    <row r="110" spans="1:13" x14ac:dyDescent="0.3">
      <c r="A110">
        <v>386</v>
      </c>
      <c r="B110" t="s">
        <v>171</v>
      </c>
      <c r="C110" t="s">
        <v>172</v>
      </c>
      <c r="D110">
        <v>298.14999999999998</v>
      </c>
      <c r="E110" s="1">
        <v>6.0000000000000002E-5</v>
      </c>
      <c r="F110">
        <v>-4.2218487500000004</v>
      </c>
      <c r="G110" t="s">
        <v>14</v>
      </c>
      <c r="H110" t="s">
        <v>11</v>
      </c>
      <c r="I110">
        <f t="shared" ca="1" si="4"/>
        <v>-3.1930489133171145</v>
      </c>
      <c r="J110">
        <f t="shared" ca="1" si="5"/>
        <v>6.4113736309286682E-4</v>
      </c>
      <c r="K110">
        <f t="shared" ca="1" si="6"/>
        <v>1.0584291039587326</v>
      </c>
      <c r="L110">
        <f t="shared" si="7"/>
        <v>0.66217482195156196</v>
      </c>
      <c r="M110">
        <v>2.2567085658263988</v>
      </c>
    </row>
    <row r="111" spans="1:13" x14ac:dyDescent="0.3">
      <c r="A111">
        <v>387</v>
      </c>
      <c r="B111" t="s">
        <v>173</v>
      </c>
      <c r="C111" t="s">
        <v>174</v>
      </c>
      <c r="D111">
        <v>298.14999999999998</v>
      </c>
      <c r="E111" s="1">
        <v>3.3000000000000002E-6</v>
      </c>
      <c r="F111">
        <v>-5.4814860599999999</v>
      </c>
      <c r="G111" t="s">
        <v>14</v>
      </c>
      <c r="H111" t="s">
        <v>11</v>
      </c>
      <c r="I111">
        <f t="shared" ca="1" si="4"/>
        <v>-4.3729145862888421</v>
      </c>
      <c r="J111">
        <f t="shared" ca="1" si="5"/>
        <v>4.2372629309596554E-5</v>
      </c>
      <c r="K111">
        <f t="shared" ca="1" si="6"/>
        <v>1.2289307123261284</v>
      </c>
      <c r="L111">
        <f t="shared" si="7"/>
        <v>0.19882329632352352</v>
      </c>
      <c r="M111">
        <v>2.2567085658263988</v>
      </c>
    </row>
    <row r="112" spans="1:13" x14ac:dyDescent="0.3">
      <c r="A112">
        <v>388</v>
      </c>
      <c r="B112" t="s">
        <v>175</v>
      </c>
      <c r="C112" t="s">
        <v>176</v>
      </c>
      <c r="D112">
        <v>298.14999999999998</v>
      </c>
      <c r="E112" s="1">
        <v>3.8E-6</v>
      </c>
      <c r="F112">
        <v>-5.4202164030000004</v>
      </c>
      <c r="G112" t="s">
        <v>14</v>
      </c>
      <c r="H112" t="s">
        <v>11</v>
      </c>
      <c r="I112">
        <f t="shared" ca="1" si="4"/>
        <v>-4.4632238894306155</v>
      </c>
      <c r="J112">
        <f t="shared" ca="1" si="5"/>
        <v>3.4417245569966508E-5</v>
      </c>
      <c r="K112">
        <f t="shared" ca="1" si="6"/>
        <v>0.91583467102784932</v>
      </c>
      <c r="L112">
        <f t="shared" si="7"/>
        <v>0.1479374698847187</v>
      </c>
      <c r="M112">
        <v>2.2567085658263988</v>
      </c>
    </row>
    <row r="113" spans="1:13" x14ac:dyDescent="0.3">
      <c r="A113">
        <v>390</v>
      </c>
      <c r="B113" t="s">
        <v>177</v>
      </c>
      <c r="C113" t="s">
        <v>178</v>
      </c>
      <c r="D113">
        <v>298.14999999999998</v>
      </c>
      <c r="E113" s="1">
        <v>7.1000000000000005E-5</v>
      </c>
      <c r="F113">
        <v>-4.1487416509999999</v>
      </c>
      <c r="G113" t="s">
        <v>14</v>
      </c>
      <c r="H113" t="s">
        <v>11</v>
      </c>
      <c r="I113">
        <f t="shared" ca="1" si="4"/>
        <v>-3.5371724219930498</v>
      </c>
      <c r="J113">
        <f t="shared" ca="1" si="5"/>
        <v>2.9028699389419725E-4</v>
      </c>
      <c r="K113">
        <f t="shared" ca="1" si="6"/>
        <v>0.37401692186815538</v>
      </c>
      <c r="L113">
        <f t="shared" si="7"/>
        <v>0.78649999412402594</v>
      </c>
      <c r="M113">
        <v>2.2567085658263988</v>
      </c>
    </row>
    <row r="114" spans="1:13" x14ac:dyDescent="0.3">
      <c r="A114">
        <v>391</v>
      </c>
      <c r="B114" t="s">
        <v>173</v>
      </c>
      <c r="C114" t="s">
        <v>178</v>
      </c>
      <c r="D114">
        <v>298.14999999999998</v>
      </c>
      <c r="E114" s="1">
        <v>4.9999999999999998E-8</v>
      </c>
      <c r="F114">
        <v>-7.3010299959999996</v>
      </c>
      <c r="G114" t="s">
        <v>14</v>
      </c>
      <c r="H114" t="s">
        <v>11</v>
      </c>
      <c r="I114">
        <f t="shared" ca="1" si="4"/>
        <v>-6.5457799542942832</v>
      </c>
      <c r="J114">
        <f t="shared" ca="1" si="5"/>
        <v>2.8459026870008713E-7</v>
      </c>
      <c r="K114">
        <f t="shared" ca="1" si="6"/>
        <v>0.57040262549648635</v>
      </c>
      <c r="L114">
        <f t="shared" si="7"/>
        <v>5.1322183754764783</v>
      </c>
      <c r="M114">
        <v>2.2567085658263988</v>
      </c>
    </row>
    <row r="115" spans="1:13" x14ac:dyDescent="0.3">
      <c r="A115">
        <v>397</v>
      </c>
      <c r="B115" t="s">
        <v>179</v>
      </c>
      <c r="C115" t="s">
        <v>180</v>
      </c>
      <c r="D115">
        <v>298.14999999999998</v>
      </c>
      <c r="E115" s="1">
        <v>1.15E-7</v>
      </c>
      <c r="F115">
        <v>-6.9393021600000004</v>
      </c>
      <c r="G115" t="s">
        <v>14</v>
      </c>
      <c r="H115" t="s">
        <v>11</v>
      </c>
      <c r="I115">
        <f t="shared" ca="1" si="4"/>
        <v>-6.3301939286310347</v>
      </c>
      <c r="J115">
        <f t="shared" ca="1" si="5"/>
        <v>4.6752632678378269E-7</v>
      </c>
      <c r="K115">
        <f t="shared" ca="1" si="6"/>
        <v>0.37101283752142949</v>
      </c>
      <c r="L115">
        <f t="shared" si="7"/>
        <v>3.6241199881318673</v>
      </c>
      <c r="M115">
        <v>2.2567085658263988</v>
      </c>
    </row>
    <row r="116" spans="1:13" x14ac:dyDescent="0.3">
      <c r="A116">
        <v>398</v>
      </c>
      <c r="B116" t="s">
        <v>181</v>
      </c>
      <c r="C116" t="s">
        <v>180</v>
      </c>
      <c r="D116">
        <v>298.14999999999998</v>
      </c>
      <c r="E116" s="1">
        <v>1.35E-6</v>
      </c>
      <c r="F116">
        <v>-5.8696662320000002</v>
      </c>
      <c r="G116" t="s">
        <v>14</v>
      </c>
      <c r="H116" t="s">
        <v>11</v>
      </c>
      <c r="I116">
        <f t="shared" ca="1" si="4"/>
        <v>-5.2892454938728131</v>
      </c>
      <c r="J116">
        <f t="shared" ca="1" si="5"/>
        <v>5.1375315996495526E-6</v>
      </c>
      <c r="K116">
        <f t="shared" ca="1" si="6"/>
        <v>0.33688823324810868</v>
      </c>
      <c r="L116">
        <f t="shared" si="7"/>
        <v>0.69568316078731807</v>
      </c>
      <c r="M116">
        <v>2.2567085658263988</v>
      </c>
    </row>
    <row r="117" spans="1:13" x14ac:dyDescent="0.3">
      <c r="A117">
        <v>399</v>
      </c>
      <c r="B117" t="s">
        <v>182</v>
      </c>
      <c r="C117" t="s">
        <v>180</v>
      </c>
      <c r="D117">
        <v>298.14999999999998</v>
      </c>
      <c r="E117" s="1">
        <v>2.4999999999999999E-7</v>
      </c>
      <c r="F117">
        <v>-6.602059991</v>
      </c>
      <c r="G117" t="s">
        <v>14</v>
      </c>
      <c r="H117" t="s">
        <v>11</v>
      </c>
      <c r="I117">
        <f t="shared" ca="1" si="4"/>
        <v>-5.4081048906120008</v>
      </c>
      <c r="J117">
        <f t="shared" ca="1" si="5"/>
        <v>3.9074651146966962E-6</v>
      </c>
      <c r="K117">
        <f t="shared" ca="1" si="6"/>
        <v>1.4255287817425171</v>
      </c>
      <c r="L117">
        <f t="shared" si="7"/>
        <v>2.4538282327035401</v>
      </c>
      <c r="M117">
        <v>2.2567085658263988</v>
      </c>
    </row>
    <row r="118" spans="1:13" x14ac:dyDescent="0.3">
      <c r="A118">
        <v>401</v>
      </c>
      <c r="B118" t="s">
        <v>183</v>
      </c>
      <c r="C118" t="s">
        <v>184</v>
      </c>
      <c r="D118">
        <v>298.14999999999998</v>
      </c>
      <c r="E118" s="1">
        <v>1.2E-4</v>
      </c>
      <c r="F118">
        <v>-3.9208187539999999</v>
      </c>
      <c r="G118" t="s">
        <v>14</v>
      </c>
      <c r="H118" t="s">
        <v>11</v>
      </c>
      <c r="I118">
        <f t="shared" ca="1" si="4"/>
        <v>-2.8335336953402406</v>
      </c>
      <c r="J118">
        <f t="shared" ca="1" si="5"/>
        <v>1.4671222537752254E-3</v>
      </c>
      <c r="K118">
        <f t="shared" ca="1" si="6"/>
        <v>1.1821887987847564</v>
      </c>
      <c r="L118">
        <f t="shared" si="7"/>
        <v>1.2427149309083927</v>
      </c>
      <c r="M118">
        <v>2.2567085658263988</v>
      </c>
    </row>
    <row r="119" spans="1:13" x14ac:dyDescent="0.3">
      <c r="A119">
        <v>402</v>
      </c>
      <c r="B119" t="s">
        <v>185</v>
      </c>
      <c r="C119" t="s">
        <v>184</v>
      </c>
      <c r="D119">
        <v>298.14999999999998</v>
      </c>
      <c r="E119" s="1">
        <v>7.2999999999999999E-5</v>
      </c>
      <c r="F119">
        <v>-4.1366771399999998</v>
      </c>
      <c r="G119" t="s">
        <v>14</v>
      </c>
      <c r="H119" t="s">
        <v>11</v>
      </c>
      <c r="I119">
        <f t="shared" ca="1" si="4"/>
        <v>-3.2809163914561128</v>
      </c>
      <c r="J119">
        <f t="shared" ca="1" si="5"/>
        <v>5.2370124763931694E-4</v>
      </c>
      <c r="K119">
        <f t="shared" ca="1" si="6"/>
        <v>0.73232645874839375</v>
      </c>
      <c r="L119">
        <f t="shared" si="7"/>
        <v>0.80804432987338004</v>
      </c>
      <c r="M119">
        <v>2.2567085658263988</v>
      </c>
    </row>
    <row r="120" spans="1:13" x14ac:dyDescent="0.3">
      <c r="A120">
        <v>403</v>
      </c>
      <c r="B120" t="s">
        <v>186</v>
      </c>
      <c r="C120" t="s">
        <v>184</v>
      </c>
      <c r="D120">
        <v>298.14999999999998</v>
      </c>
      <c r="E120" s="1">
        <v>1.9000000000000001E-5</v>
      </c>
      <c r="F120">
        <v>-4.721246399</v>
      </c>
      <c r="G120" t="s">
        <v>14</v>
      </c>
      <c r="H120" t="s">
        <v>11</v>
      </c>
      <c r="I120">
        <f t="shared" ca="1" si="4"/>
        <v>-3.6034694412131456</v>
      </c>
      <c r="J120">
        <f t="shared" ca="1" si="5"/>
        <v>2.4918997056320801E-4</v>
      </c>
      <c r="K120">
        <f t="shared" ca="1" si="6"/>
        <v>1.2494253273592353</v>
      </c>
      <c r="L120">
        <f t="shared" si="7"/>
        <v>9.881189948964722E-2</v>
      </c>
      <c r="M120">
        <v>2.2567085658263988</v>
      </c>
    </row>
    <row r="121" spans="1:13" x14ac:dyDescent="0.3">
      <c r="A121">
        <v>404</v>
      </c>
      <c r="B121" t="s">
        <v>187</v>
      </c>
      <c r="C121" t="s">
        <v>188</v>
      </c>
      <c r="D121">
        <v>298.14999999999998</v>
      </c>
      <c r="E121" s="1">
        <v>1.2899999999999999E-3</v>
      </c>
      <c r="F121">
        <v>-2.8894102899999998</v>
      </c>
      <c r="G121" t="s">
        <v>14</v>
      </c>
      <c r="H121" t="s">
        <v>11</v>
      </c>
      <c r="I121">
        <f t="shared" ca="1" si="4"/>
        <v>-2.1110947148048758</v>
      </c>
      <c r="J121">
        <f t="shared" ca="1" si="5"/>
        <v>7.7429291469908717E-3</v>
      </c>
      <c r="K121">
        <f t="shared" ca="1" si="6"/>
        <v>0.60577513459131682</v>
      </c>
      <c r="L121">
        <f t="shared" si="7"/>
        <v>4.6060873476156852</v>
      </c>
      <c r="M121">
        <v>2.2567085658263988</v>
      </c>
    </row>
    <row r="122" spans="1:13" x14ac:dyDescent="0.3">
      <c r="A122">
        <v>405</v>
      </c>
      <c r="B122" t="s">
        <v>189</v>
      </c>
      <c r="C122" t="s">
        <v>188</v>
      </c>
      <c r="D122">
        <v>298.14999999999998</v>
      </c>
      <c r="E122" s="1">
        <v>3.4299999999999999E-4</v>
      </c>
      <c r="F122">
        <v>-3.4647058799999999</v>
      </c>
      <c r="G122" t="s">
        <v>14</v>
      </c>
      <c r="H122" t="s">
        <v>11</v>
      </c>
      <c r="I122">
        <f t="shared" ca="1" si="4"/>
        <v>-2.482794671861567</v>
      </c>
      <c r="J122">
        <f t="shared" ca="1" si="5"/>
        <v>3.2900714392150076E-3</v>
      </c>
      <c r="K122">
        <f t="shared" ca="1" si="6"/>
        <v>0.96414962066787691</v>
      </c>
      <c r="L122">
        <f t="shared" si="7"/>
        <v>2.4676769184681748</v>
      </c>
      <c r="M122">
        <v>2.2567085658263988</v>
      </c>
    </row>
    <row r="123" spans="1:13" x14ac:dyDescent="0.3">
      <c r="A123">
        <v>406</v>
      </c>
      <c r="B123" t="s">
        <v>190</v>
      </c>
      <c r="C123" t="s">
        <v>188</v>
      </c>
      <c r="D123">
        <v>298.14999999999998</v>
      </c>
      <c r="E123" s="1">
        <v>1.7699999999999999E-4</v>
      </c>
      <c r="F123">
        <v>-3.7520267340000002</v>
      </c>
      <c r="G123" t="s">
        <v>14</v>
      </c>
      <c r="H123" t="s">
        <v>11</v>
      </c>
      <c r="I123">
        <f t="shared" ca="1" si="4"/>
        <v>-3.0041280025443502</v>
      </c>
      <c r="J123">
        <f t="shared" ca="1" si="5"/>
        <v>9.9053995333748656E-4</v>
      </c>
      <c r="K123">
        <f t="shared" ca="1" si="6"/>
        <v>0.55935251251297047</v>
      </c>
      <c r="L123">
        <f t="shared" si="7"/>
        <v>1.6475346578245862</v>
      </c>
      <c r="M123">
        <v>2.2567085658263988</v>
      </c>
    </row>
    <row r="124" spans="1:13" x14ac:dyDescent="0.3">
      <c r="A124">
        <v>407</v>
      </c>
      <c r="B124" t="s">
        <v>191</v>
      </c>
      <c r="C124" t="s">
        <v>192</v>
      </c>
      <c r="D124">
        <v>298.14999999999998</v>
      </c>
      <c r="E124" s="1">
        <v>8.3000000000000002E-6</v>
      </c>
      <c r="F124">
        <v>-5.0809219079999997</v>
      </c>
      <c r="G124" t="s">
        <v>14</v>
      </c>
      <c r="H124" t="s">
        <v>11</v>
      </c>
      <c r="I124">
        <f t="shared" ca="1" si="4"/>
        <v>-4.3501283324454292</v>
      </c>
      <c r="J124">
        <f t="shared" ca="1" si="5"/>
        <v>4.4655161826821805E-5</v>
      </c>
      <c r="K124">
        <f t="shared" ca="1" si="6"/>
        <v>0.53405925007183375</v>
      </c>
      <c r="L124">
        <f t="shared" si="7"/>
        <v>2.0549818829204316E-3</v>
      </c>
      <c r="M124">
        <v>2.2567085658263988</v>
      </c>
    </row>
    <row r="125" spans="1:13" x14ac:dyDescent="0.3">
      <c r="A125">
        <v>408</v>
      </c>
      <c r="B125" t="s">
        <v>193</v>
      </c>
      <c r="C125" t="s">
        <v>192</v>
      </c>
      <c r="D125">
        <v>298.14999999999998</v>
      </c>
      <c r="E125" s="1">
        <v>5.9100000000000004E-7</v>
      </c>
      <c r="F125">
        <v>-6.2284125189999999</v>
      </c>
      <c r="G125" t="s">
        <v>14</v>
      </c>
      <c r="H125" t="s">
        <v>11</v>
      </c>
      <c r="I125">
        <f t="shared" ca="1" si="4"/>
        <v>-5.3583809788281203</v>
      </c>
      <c r="J125">
        <f t="shared" ca="1" si="5"/>
        <v>4.3814617146992741E-6</v>
      </c>
      <c r="K125">
        <f t="shared" ca="1" si="6"/>
        <v>0.7569548808938531</v>
      </c>
      <c r="L125">
        <f t="shared" si="7"/>
        <v>1.4228255618335051</v>
      </c>
      <c r="M125">
        <v>2.2567085658263988</v>
      </c>
    </row>
    <row r="126" spans="1:13" x14ac:dyDescent="0.3">
      <c r="A126">
        <v>409</v>
      </c>
      <c r="B126" t="s">
        <v>194</v>
      </c>
      <c r="C126" t="s">
        <v>192</v>
      </c>
      <c r="D126">
        <v>298.14999999999998</v>
      </c>
      <c r="E126" s="1">
        <v>4.4099999999999999E-7</v>
      </c>
      <c r="F126">
        <v>-6.355561411</v>
      </c>
      <c r="G126" t="s">
        <v>14</v>
      </c>
      <c r="H126" t="s">
        <v>11</v>
      </c>
      <c r="I126">
        <f t="shared" ca="1" si="4"/>
        <v>-5.304000224150446</v>
      </c>
      <c r="J126">
        <f t="shared" ca="1" si="5"/>
        <v>4.9659206514645355E-6</v>
      </c>
      <c r="K126">
        <f t="shared" ca="1" si="6"/>
        <v>1.1057809296884427</v>
      </c>
      <c r="L126">
        <f t="shared" si="7"/>
        <v>1.742324525857331</v>
      </c>
      <c r="M126">
        <v>2.2567085658263988</v>
      </c>
    </row>
    <row r="127" spans="1:13" x14ac:dyDescent="0.3">
      <c r="A127">
        <v>410</v>
      </c>
      <c r="B127" t="s">
        <v>195</v>
      </c>
      <c r="C127" t="s">
        <v>192</v>
      </c>
      <c r="D127">
        <v>298.14999999999998</v>
      </c>
      <c r="E127" s="1">
        <v>3.34E-7</v>
      </c>
      <c r="F127">
        <v>-6.4762535330000004</v>
      </c>
      <c r="G127" t="s">
        <v>14</v>
      </c>
      <c r="H127" t="s">
        <v>11</v>
      </c>
      <c r="I127">
        <f t="shared" ca="1" si="4"/>
        <v>-5.5926212020805961</v>
      </c>
      <c r="J127">
        <f t="shared" ca="1" si="5"/>
        <v>2.554928776881132E-6</v>
      </c>
      <c r="K127">
        <f t="shared" ca="1" si="6"/>
        <v>0.78080609624605957</v>
      </c>
      <c r="L127">
        <f t="shared" si="7"/>
        <v>2.075511415316043</v>
      </c>
      <c r="M127">
        <v>2.2567085658263988</v>
      </c>
    </row>
    <row r="128" spans="1:13" x14ac:dyDescent="0.3">
      <c r="A128">
        <v>411</v>
      </c>
      <c r="B128" t="s">
        <v>196</v>
      </c>
      <c r="C128" t="s">
        <v>192</v>
      </c>
      <c r="D128">
        <v>298.14999999999998</v>
      </c>
      <c r="E128" s="1">
        <v>1.4399999999999999E-7</v>
      </c>
      <c r="F128">
        <v>-6.8416375079999998</v>
      </c>
      <c r="G128" t="s">
        <v>14</v>
      </c>
      <c r="H128" t="s">
        <v>11</v>
      </c>
      <c r="I128">
        <f t="shared" ca="1" si="4"/>
        <v>-5.668971622962669</v>
      </c>
      <c r="J128">
        <f t="shared" ca="1" si="5"/>
        <v>2.1430306233303419E-6</v>
      </c>
      <c r="K128">
        <f t="shared" ca="1" si="6"/>
        <v>1.3751452779303863</v>
      </c>
      <c r="L128">
        <f t="shared" si="7"/>
        <v>3.2618076011530093</v>
      </c>
      <c r="M128">
        <v>2.2567085658263988</v>
      </c>
    </row>
    <row r="129" spans="1:13" x14ac:dyDescent="0.3">
      <c r="A129">
        <v>412</v>
      </c>
      <c r="B129" t="s">
        <v>197</v>
      </c>
      <c r="C129" t="s">
        <v>192</v>
      </c>
      <c r="D129">
        <v>298.14999999999998</v>
      </c>
      <c r="E129" s="1">
        <v>8.2199999999999995E-8</v>
      </c>
      <c r="F129">
        <v>-7.0851281820000001</v>
      </c>
      <c r="G129" t="s">
        <v>14</v>
      </c>
      <c r="H129" t="s">
        <v>11</v>
      </c>
      <c r="I129">
        <f t="shared" ca="1" si="4"/>
        <v>-5.7530973144723418</v>
      </c>
      <c r="J129">
        <f t="shared" ca="1" si="5"/>
        <v>1.7656421403531484E-6</v>
      </c>
      <c r="K129">
        <f t="shared" ca="1" si="6"/>
        <v>1.7743062320464857</v>
      </c>
      <c r="L129">
        <f t="shared" si="7"/>
        <v>4.2006067594758649</v>
      </c>
      <c r="M129">
        <v>2.2567085658263988</v>
      </c>
    </row>
    <row r="130" spans="1:13" x14ac:dyDescent="0.3">
      <c r="A130">
        <v>413</v>
      </c>
      <c r="B130" t="s">
        <v>198</v>
      </c>
      <c r="C130" t="s">
        <v>192</v>
      </c>
      <c r="D130">
        <v>298.14999999999998</v>
      </c>
      <c r="E130" s="1">
        <v>2.7400000000000001E-8</v>
      </c>
      <c r="F130">
        <v>-7.5622494370000002</v>
      </c>
      <c r="G130" t="s">
        <v>14</v>
      </c>
      <c r="H130" t="s">
        <v>11</v>
      </c>
      <c r="I130">
        <f t="shared" ca="1" si="4"/>
        <v>-6.3207297258694162</v>
      </c>
      <c r="J130">
        <f t="shared" ca="1" si="5"/>
        <v>4.7782654655215627E-7</v>
      </c>
      <c r="K130">
        <f t="shared" ca="1" si="6"/>
        <v>1.5413711931257688</v>
      </c>
      <c r="L130">
        <f t="shared" si="7"/>
        <v>6.3840079105811576</v>
      </c>
      <c r="M130">
        <v>2.2567085658263988</v>
      </c>
    </row>
    <row r="131" spans="1:13" x14ac:dyDescent="0.3">
      <c r="A131">
        <v>421</v>
      </c>
      <c r="B131" t="s">
        <v>199</v>
      </c>
      <c r="C131" t="s">
        <v>200</v>
      </c>
      <c r="D131">
        <v>298.14999999999998</v>
      </c>
      <c r="E131" s="1">
        <v>1.4999999999999999E-4</v>
      </c>
      <c r="F131">
        <v>-3.8239087409999999</v>
      </c>
      <c r="G131" t="s">
        <v>14</v>
      </c>
      <c r="H131" t="s">
        <v>11</v>
      </c>
      <c r="I131">
        <f t="shared" ref="I131:I194" ca="1" si="8">F131*SQRT(0.862321) + RAND()*SQRT(1-0.862321)*M131</f>
        <v>-3.357629015131435</v>
      </c>
      <c r="J131">
        <f t="shared" ref="J131:J194" ca="1" si="9">POWER(10,I131)</f>
        <v>4.389054613650639E-4</v>
      </c>
      <c r="K131">
        <f t="shared" ref="K131:K194" ca="1" si="10">(F131-I131)^2</f>
        <v>0.21741678275606405</v>
      </c>
      <c r="L131">
        <f t="shared" ref="L131:L194" si="11">(F131+5.03559)^2</f>
        <v>1.4681714734118254</v>
      </c>
      <c r="M131">
        <v>2.2567085658263988</v>
      </c>
    </row>
    <row r="132" spans="1:13" x14ac:dyDescent="0.3">
      <c r="A132">
        <v>422</v>
      </c>
      <c r="B132" t="s">
        <v>110</v>
      </c>
      <c r="C132" t="s">
        <v>200</v>
      </c>
      <c r="D132">
        <v>298.14999999999998</v>
      </c>
      <c r="E132" s="1">
        <v>2.7999999999999998E-4</v>
      </c>
      <c r="F132">
        <v>-3.5528419690000002</v>
      </c>
      <c r="G132" t="s">
        <v>14</v>
      </c>
      <c r="H132" t="s">
        <v>11</v>
      </c>
      <c r="I132">
        <f t="shared" ca="1" si="8"/>
        <v>-3.0031889788018353</v>
      </c>
      <c r="J132">
        <f t="shared" ca="1" si="9"/>
        <v>9.9268399813800352E-4</v>
      </c>
      <c r="K132">
        <f t="shared" ca="1" si="10"/>
        <v>0.30211840963378389</v>
      </c>
      <c r="L132">
        <f t="shared" si="11"/>
        <v>2.1985417234343765</v>
      </c>
      <c r="M132">
        <v>2.2567085658263988</v>
      </c>
    </row>
    <row r="133" spans="1:13" x14ac:dyDescent="0.3">
      <c r="A133">
        <v>423</v>
      </c>
      <c r="B133" t="s">
        <v>201</v>
      </c>
      <c r="C133" t="s">
        <v>200</v>
      </c>
      <c r="D133">
        <v>298.14999999999998</v>
      </c>
      <c r="E133" s="1">
        <v>1.3999999999999999E-4</v>
      </c>
      <c r="F133">
        <v>-3.8538719640000001</v>
      </c>
      <c r="G133" t="s">
        <v>14</v>
      </c>
      <c r="H133" t="s">
        <v>11</v>
      </c>
      <c r="I133">
        <f t="shared" ca="1" si="8"/>
        <v>-2.866388510894978</v>
      </c>
      <c r="J133">
        <f t="shared" ca="1" si="9"/>
        <v>1.3602273067060749E-3</v>
      </c>
      <c r="K133">
        <f t="shared" ca="1" si="10"/>
        <v>0.97512357015621831</v>
      </c>
      <c r="L133">
        <f t="shared" si="11"/>
        <v>1.3964575166076971</v>
      </c>
      <c r="M133">
        <v>2.2567085658263988</v>
      </c>
    </row>
    <row r="134" spans="1:13" x14ac:dyDescent="0.3">
      <c r="A134">
        <v>424</v>
      </c>
      <c r="B134" t="s">
        <v>202</v>
      </c>
      <c r="C134" t="s">
        <v>200</v>
      </c>
      <c r="D134">
        <v>298.14999999999998</v>
      </c>
      <c r="E134" s="1">
        <v>3.8999999999999999E-5</v>
      </c>
      <c r="F134">
        <v>-4.4089353930000001</v>
      </c>
      <c r="G134" t="s">
        <v>14</v>
      </c>
      <c r="H134" t="s">
        <v>11</v>
      </c>
      <c r="I134">
        <f t="shared" ca="1" si="8"/>
        <v>-3.5361737156406292</v>
      </c>
      <c r="J134">
        <f t="shared" ca="1" si="9"/>
        <v>2.9095530784638941E-4</v>
      </c>
      <c r="K134">
        <f t="shared" ca="1" si="10"/>
        <v>0.76171294546714274</v>
      </c>
      <c r="L134">
        <f t="shared" si="11"/>
        <v>0.39269599647432429</v>
      </c>
      <c r="M134">
        <v>2.2567085658263988</v>
      </c>
    </row>
    <row r="135" spans="1:13" x14ac:dyDescent="0.3">
      <c r="A135">
        <v>425</v>
      </c>
      <c r="B135" t="s">
        <v>203</v>
      </c>
      <c r="C135" t="s">
        <v>200</v>
      </c>
      <c r="D135">
        <v>298.14999999999998</v>
      </c>
      <c r="E135" s="1">
        <v>3.6999999999999998E-5</v>
      </c>
      <c r="F135">
        <v>-4.4317982760000003</v>
      </c>
      <c r="G135" t="s">
        <v>14</v>
      </c>
      <c r="H135" t="s">
        <v>11</v>
      </c>
      <c r="I135">
        <f t="shared" ca="1" si="8"/>
        <v>-3.9754333634555428</v>
      </c>
      <c r="J135">
        <f t="shared" ca="1" si="9"/>
        <v>1.0581972694288716E-4</v>
      </c>
      <c r="K135">
        <f t="shared" ca="1" si="10"/>
        <v>0.20826893340171038</v>
      </c>
      <c r="L135">
        <f t="shared" si="11"/>
        <v>0.36456444597089183</v>
      </c>
      <c r="M135">
        <v>2.2567085658263988</v>
      </c>
    </row>
    <row r="136" spans="1:13" x14ac:dyDescent="0.3">
      <c r="A136">
        <v>426</v>
      </c>
      <c r="B136" t="s">
        <v>204</v>
      </c>
      <c r="C136" t="s">
        <v>200</v>
      </c>
      <c r="D136">
        <v>298.14999999999998</v>
      </c>
      <c r="E136" s="1">
        <v>3.0000000000000001E-5</v>
      </c>
      <c r="F136">
        <v>-4.5228787449999999</v>
      </c>
      <c r="G136" t="s">
        <v>14</v>
      </c>
      <c r="H136" t="s">
        <v>11</v>
      </c>
      <c r="I136">
        <f t="shared" ca="1" si="8"/>
        <v>-3.6721470927605262</v>
      </c>
      <c r="J136">
        <f t="shared" ca="1" si="9"/>
        <v>2.1274183809620757E-4</v>
      </c>
      <c r="K136">
        <f t="shared" ca="1" si="10"/>
        <v>0.72374434412210475</v>
      </c>
      <c r="L136">
        <f t="shared" si="11"/>
        <v>0.26287283100367514</v>
      </c>
      <c r="M136">
        <v>2.2567085658263988</v>
      </c>
    </row>
    <row r="137" spans="1:13" x14ac:dyDescent="0.3">
      <c r="A137">
        <v>427</v>
      </c>
      <c r="B137" t="s">
        <v>205</v>
      </c>
      <c r="C137" t="s">
        <v>200</v>
      </c>
      <c r="D137">
        <v>298.14999999999998</v>
      </c>
      <c r="E137" s="1">
        <v>2.9000000000000002E-6</v>
      </c>
      <c r="F137">
        <v>-5.5376020019999999</v>
      </c>
      <c r="G137" t="s">
        <v>14</v>
      </c>
      <c r="H137" t="s">
        <v>11</v>
      </c>
      <c r="I137">
        <f t="shared" ca="1" si="8"/>
        <v>-4.8271334408253255</v>
      </c>
      <c r="J137">
        <f t="shared" ca="1" si="9"/>
        <v>1.488903528627813E-5</v>
      </c>
      <c r="K137">
        <f t="shared" ca="1" si="10"/>
        <v>0.50476557641761199</v>
      </c>
      <c r="L137">
        <f t="shared" si="11"/>
        <v>0.25201605015204787</v>
      </c>
      <c r="M137">
        <v>2.2567085658263988</v>
      </c>
    </row>
    <row r="138" spans="1:13" x14ac:dyDescent="0.3">
      <c r="A138">
        <v>430</v>
      </c>
      <c r="B138" t="s">
        <v>206</v>
      </c>
      <c r="C138" t="s">
        <v>207</v>
      </c>
      <c r="D138">
        <v>298.14999999999998</v>
      </c>
      <c r="E138" s="1">
        <v>1.1E-5</v>
      </c>
      <c r="F138">
        <v>-4.9586073150000001</v>
      </c>
      <c r="G138" t="s">
        <v>14</v>
      </c>
      <c r="H138" t="s">
        <v>11</v>
      </c>
      <c r="I138">
        <f t="shared" ca="1" si="8"/>
        <v>-4.2787447077322156</v>
      </c>
      <c r="J138">
        <f t="shared" ca="1" si="9"/>
        <v>5.2632656716151295E-5</v>
      </c>
      <c r="K138">
        <f t="shared" ca="1" si="10"/>
        <v>0.46221316476094976</v>
      </c>
      <c r="L138">
        <f t="shared" si="11"/>
        <v>5.9263337898092161E-3</v>
      </c>
      <c r="M138">
        <v>2.2567085658263988</v>
      </c>
    </row>
    <row r="139" spans="1:13" x14ac:dyDescent="0.3">
      <c r="A139">
        <v>431</v>
      </c>
      <c r="B139" t="s">
        <v>208</v>
      </c>
      <c r="C139" t="s">
        <v>207</v>
      </c>
      <c r="D139">
        <v>298.14999999999998</v>
      </c>
      <c r="E139" s="1">
        <v>1.3999999999999999E-6</v>
      </c>
      <c r="F139">
        <v>-5.8538719639999997</v>
      </c>
      <c r="G139" t="s">
        <v>14</v>
      </c>
      <c r="H139" t="s">
        <v>11</v>
      </c>
      <c r="I139">
        <f t="shared" ca="1" si="8"/>
        <v>-4.9018733802149601</v>
      </c>
      <c r="J139">
        <f t="shared" ca="1" si="9"/>
        <v>1.2535065850623348E-5</v>
      </c>
      <c r="K139">
        <f t="shared" ca="1" si="10"/>
        <v>0.90630130352872096</v>
      </c>
      <c r="L139">
        <f t="shared" si="11"/>
        <v>0.66958537260769668</v>
      </c>
      <c r="M139">
        <v>2.2567085658263988</v>
      </c>
    </row>
    <row r="140" spans="1:13" x14ac:dyDescent="0.3">
      <c r="A140">
        <v>432</v>
      </c>
      <c r="B140" t="s">
        <v>209</v>
      </c>
      <c r="C140" t="s">
        <v>61</v>
      </c>
      <c r="D140">
        <v>298.14999999999998</v>
      </c>
      <c r="E140" s="1">
        <v>1.1E-4</v>
      </c>
      <c r="F140">
        <v>-3.9586073150000001</v>
      </c>
      <c r="G140" t="s">
        <v>14</v>
      </c>
      <c r="H140" t="s">
        <v>11</v>
      </c>
      <c r="I140">
        <f t="shared" ca="1" si="8"/>
        <v>-2.8408886396903066</v>
      </c>
      <c r="J140">
        <f t="shared" ca="1" si="9"/>
        <v>1.4424851812375344E-3</v>
      </c>
      <c r="K140">
        <f t="shared" ca="1" si="10"/>
        <v>1.2492950371360561</v>
      </c>
      <c r="L140">
        <f t="shared" si="11"/>
        <v>1.1598917037898091</v>
      </c>
      <c r="M140">
        <v>2.2567085658263988</v>
      </c>
    </row>
    <row r="141" spans="1:13" x14ac:dyDescent="0.3">
      <c r="A141">
        <v>433</v>
      </c>
      <c r="B141" t="s">
        <v>210</v>
      </c>
      <c r="C141" t="s">
        <v>61</v>
      </c>
      <c r="D141">
        <v>298.14999999999998</v>
      </c>
      <c r="E141" s="1">
        <v>8.0000000000000007E-5</v>
      </c>
      <c r="F141">
        <v>-4.0969100129999996</v>
      </c>
      <c r="G141" t="s">
        <v>14</v>
      </c>
      <c r="H141" t="s">
        <v>11</v>
      </c>
      <c r="I141">
        <f t="shared" ca="1" si="8"/>
        <v>-3.210634158965934</v>
      </c>
      <c r="J141">
        <f t="shared" ca="1" si="9"/>
        <v>6.1569530379982317E-4</v>
      </c>
      <c r="K141">
        <f t="shared" ca="1" si="10"/>
        <v>0.78548488944381234</v>
      </c>
      <c r="L141">
        <f t="shared" si="11"/>
        <v>0.88112011799432099</v>
      </c>
      <c r="M141">
        <v>2.2567085658263988</v>
      </c>
    </row>
    <row r="142" spans="1:13" x14ac:dyDescent="0.3">
      <c r="A142">
        <v>434</v>
      </c>
      <c r="B142" t="s">
        <v>211</v>
      </c>
      <c r="C142" t="s">
        <v>61</v>
      </c>
      <c r="D142">
        <v>298.14999999999998</v>
      </c>
      <c r="E142" s="1">
        <v>6.9999999999999994E-5</v>
      </c>
      <c r="F142">
        <v>-4.1549019600000001</v>
      </c>
      <c r="G142" t="s">
        <v>14</v>
      </c>
      <c r="H142" t="s">
        <v>11</v>
      </c>
      <c r="I142">
        <f t="shared" ca="1" si="8"/>
        <v>-3.2639784455480276</v>
      </c>
      <c r="J142">
        <f t="shared" ca="1" si="9"/>
        <v>5.4452967770232403E-4</v>
      </c>
      <c r="K142">
        <f t="shared" ca="1" si="10"/>
        <v>0.79374470860345403</v>
      </c>
      <c r="L142">
        <f t="shared" si="11"/>
        <v>0.77561142379904147</v>
      </c>
      <c r="M142">
        <v>2.2567085658263988</v>
      </c>
    </row>
    <row r="143" spans="1:13" x14ac:dyDescent="0.3">
      <c r="A143">
        <v>435</v>
      </c>
      <c r="B143" t="s">
        <v>212</v>
      </c>
      <c r="C143" t="s">
        <v>61</v>
      </c>
      <c r="D143">
        <v>298.14999999999998</v>
      </c>
      <c r="E143" s="1">
        <v>6.0000000000000002E-5</v>
      </c>
      <c r="F143">
        <v>-4.2218487500000004</v>
      </c>
      <c r="G143" t="s">
        <v>14</v>
      </c>
      <c r="H143" t="s">
        <v>11</v>
      </c>
      <c r="I143">
        <f t="shared" ca="1" si="8"/>
        <v>-3.5019319237744928</v>
      </c>
      <c r="J143">
        <f t="shared" ca="1" si="9"/>
        <v>3.1482417664216813E-4</v>
      </c>
      <c r="K143">
        <f t="shared" ca="1" si="10"/>
        <v>0.5182802366826077</v>
      </c>
      <c r="L143">
        <f t="shared" si="11"/>
        <v>0.66217482195156196</v>
      </c>
      <c r="M143">
        <v>2.2567085658263988</v>
      </c>
    </row>
    <row r="144" spans="1:13" x14ac:dyDescent="0.3">
      <c r="A144">
        <v>436</v>
      </c>
      <c r="B144" t="s">
        <v>213</v>
      </c>
      <c r="C144" t="s">
        <v>61</v>
      </c>
      <c r="D144">
        <v>298.14999999999998</v>
      </c>
      <c r="E144" s="1">
        <v>5.0000000000000002E-5</v>
      </c>
      <c r="F144">
        <v>-4.3010299959999996</v>
      </c>
      <c r="G144" t="s">
        <v>14</v>
      </c>
      <c r="H144" t="s">
        <v>11</v>
      </c>
      <c r="I144">
        <f t="shared" ca="1" si="8"/>
        <v>-3.8575345978147291</v>
      </c>
      <c r="J144">
        <f t="shared" ca="1" si="9"/>
        <v>1.38824271198376E-4</v>
      </c>
      <c r="K144">
        <f t="shared" ca="1" si="10"/>
        <v>0.19668816821151164</v>
      </c>
      <c r="L144">
        <f t="shared" si="11"/>
        <v>0.53957839947648067</v>
      </c>
      <c r="M144">
        <v>2.2567085658263988</v>
      </c>
    </row>
    <row r="145" spans="1:13" x14ac:dyDescent="0.3">
      <c r="A145">
        <v>437</v>
      </c>
      <c r="B145" t="s">
        <v>214</v>
      </c>
      <c r="C145" t="s">
        <v>61</v>
      </c>
      <c r="D145">
        <v>298.14999999999998</v>
      </c>
      <c r="E145" s="1">
        <v>3.0000000000000001E-5</v>
      </c>
      <c r="F145">
        <v>-4.5228787449999999</v>
      </c>
      <c r="G145" t="s">
        <v>14</v>
      </c>
      <c r="H145" t="s">
        <v>11</v>
      </c>
      <c r="I145">
        <f t="shared" ca="1" si="8"/>
        <v>-3.3959503669962592</v>
      </c>
      <c r="J145">
        <f t="shared" ca="1" si="9"/>
        <v>4.0183673182013561E-4</v>
      </c>
      <c r="K145">
        <f t="shared" ca="1" si="10"/>
        <v>1.2699675691501418</v>
      </c>
      <c r="L145">
        <f t="shared" si="11"/>
        <v>0.26287283100367514</v>
      </c>
      <c r="M145">
        <v>2.2567085658263988</v>
      </c>
    </row>
    <row r="146" spans="1:13" x14ac:dyDescent="0.3">
      <c r="A146">
        <v>438</v>
      </c>
      <c r="B146" t="s">
        <v>215</v>
      </c>
      <c r="C146" t="s">
        <v>61</v>
      </c>
      <c r="D146">
        <v>298.14999999999998</v>
      </c>
      <c r="E146" s="1">
        <v>3.0000000000000001E-5</v>
      </c>
      <c r="F146">
        <v>-4.5228787449999999</v>
      </c>
      <c r="G146" t="s">
        <v>14</v>
      </c>
      <c r="H146" t="s">
        <v>11</v>
      </c>
      <c r="I146">
        <f t="shared" ca="1" si="8"/>
        <v>-3.4509191423483174</v>
      </c>
      <c r="J146">
        <f t="shared" ca="1" si="9"/>
        <v>3.5406325501887467E-4</v>
      </c>
      <c r="K146">
        <f t="shared" ca="1" si="10"/>
        <v>1.1490973897171528</v>
      </c>
      <c r="L146">
        <f t="shared" si="11"/>
        <v>0.26287283100367514</v>
      </c>
      <c r="M146">
        <v>2.2567085658263988</v>
      </c>
    </row>
    <row r="147" spans="1:13" x14ac:dyDescent="0.3">
      <c r="A147">
        <v>439</v>
      </c>
      <c r="B147" t="s">
        <v>216</v>
      </c>
      <c r="C147" t="s">
        <v>61</v>
      </c>
      <c r="D147">
        <v>298.14999999999998</v>
      </c>
      <c r="E147" s="1">
        <v>3.0000000000000001E-5</v>
      </c>
      <c r="F147">
        <v>-4.5228787449999999</v>
      </c>
      <c r="G147" t="s">
        <v>14</v>
      </c>
      <c r="H147" t="s">
        <v>11</v>
      </c>
      <c r="I147">
        <f t="shared" ca="1" si="8"/>
        <v>-4.0222806287164028</v>
      </c>
      <c r="J147">
        <f t="shared" ca="1" si="9"/>
        <v>9.4999073834564035E-5</v>
      </c>
      <c r="K147">
        <f t="shared" ca="1" si="10"/>
        <v>0.25059847402668578</v>
      </c>
      <c r="L147">
        <f t="shared" si="11"/>
        <v>0.26287283100367514</v>
      </c>
      <c r="M147">
        <v>2.2567085658263988</v>
      </c>
    </row>
    <row r="148" spans="1:13" x14ac:dyDescent="0.3">
      <c r="A148">
        <v>441</v>
      </c>
      <c r="B148" t="s">
        <v>24</v>
      </c>
      <c r="C148" t="s">
        <v>217</v>
      </c>
      <c r="D148">
        <v>298.14999999999998</v>
      </c>
      <c r="E148" s="1">
        <v>7.1999999999999999E-7</v>
      </c>
      <c r="F148">
        <v>-6.1426675040000003</v>
      </c>
      <c r="G148" t="s">
        <v>14</v>
      </c>
      <c r="H148" t="s">
        <v>11</v>
      </c>
      <c r="I148">
        <f t="shared" ca="1" si="8"/>
        <v>-4.9662394350409391</v>
      </c>
      <c r="J148">
        <f t="shared" ca="1" si="9"/>
        <v>1.080837899934541E-5</v>
      </c>
      <c r="K148">
        <f t="shared" ca="1" si="10"/>
        <v>1.3839830014347456</v>
      </c>
      <c r="L148">
        <f t="shared" si="11"/>
        <v>1.2256205998628706</v>
      </c>
      <c r="M148">
        <v>2.2567085658263988</v>
      </c>
    </row>
    <row r="149" spans="1:13" x14ac:dyDescent="0.3">
      <c r="A149">
        <v>451</v>
      </c>
      <c r="B149" t="s">
        <v>26</v>
      </c>
      <c r="C149" t="s">
        <v>141</v>
      </c>
      <c r="D149">
        <v>298.14999999999998</v>
      </c>
      <c r="E149" s="1">
        <v>2.16E-3</v>
      </c>
      <c r="F149">
        <v>-2.6655462490000001</v>
      </c>
      <c r="G149" t="s">
        <v>14</v>
      </c>
      <c r="H149" t="s">
        <v>11</v>
      </c>
      <c r="I149">
        <f t="shared" ca="1" si="8"/>
        <v>-1.8569610835710508</v>
      </c>
      <c r="J149">
        <f t="shared" ca="1" si="9"/>
        <v>1.3900771882102522E-2</v>
      </c>
      <c r="K149">
        <f t="shared" ca="1" si="10"/>
        <v>0.65380996975176131</v>
      </c>
      <c r="L149">
        <f t="shared" si="11"/>
        <v>5.617107381654149</v>
      </c>
      <c r="M149">
        <v>2.2567085658263988</v>
      </c>
    </row>
    <row r="150" spans="1:13" x14ac:dyDescent="0.3">
      <c r="A150">
        <v>452</v>
      </c>
      <c r="B150" t="s">
        <v>130</v>
      </c>
      <c r="C150" t="s">
        <v>141</v>
      </c>
      <c r="D150">
        <v>298.14999999999998</v>
      </c>
      <c r="E150" s="1">
        <v>7.94E-4</v>
      </c>
      <c r="F150">
        <v>-3.1001794980000001</v>
      </c>
      <c r="G150" t="s">
        <v>14</v>
      </c>
      <c r="H150" t="s">
        <v>11</v>
      </c>
      <c r="I150">
        <f t="shared" ca="1" si="8"/>
        <v>-2.2267196245017304</v>
      </c>
      <c r="J150">
        <f t="shared" ca="1" si="9"/>
        <v>5.9330823390458384E-3</v>
      </c>
      <c r="K150">
        <f t="shared" ca="1" si="10"/>
        <v>0.76293215061161335</v>
      </c>
      <c r="L150">
        <f t="shared" si="11"/>
        <v>3.7458138112518915</v>
      </c>
      <c r="M150">
        <v>2.2567085658263988</v>
      </c>
    </row>
    <row r="151" spans="1:13" x14ac:dyDescent="0.3">
      <c r="A151">
        <v>453</v>
      </c>
      <c r="B151" t="s">
        <v>218</v>
      </c>
      <c r="C151" t="s">
        <v>141</v>
      </c>
      <c r="D151">
        <v>298.14999999999998</v>
      </c>
      <c r="E151" s="1">
        <v>5.04E-4</v>
      </c>
      <c r="F151">
        <v>-3.297569464</v>
      </c>
      <c r="G151" t="s">
        <v>14</v>
      </c>
      <c r="H151" t="s">
        <v>11</v>
      </c>
      <c r="I151">
        <f t="shared" ca="1" si="8"/>
        <v>-2.8649506133221312</v>
      </c>
      <c r="J151">
        <f t="shared" ca="1" si="9"/>
        <v>1.3647383217514513E-3</v>
      </c>
      <c r="K151">
        <f t="shared" ca="1" si="10"/>
        <v>0.18715906996184012</v>
      </c>
      <c r="L151">
        <f t="shared" si="11"/>
        <v>3.0207153835577274</v>
      </c>
      <c r="M151">
        <v>2.2567085658263988</v>
      </c>
    </row>
    <row r="152" spans="1:13" x14ac:dyDescent="0.3">
      <c r="A152">
        <v>454</v>
      </c>
      <c r="B152" t="s">
        <v>219</v>
      </c>
      <c r="C152" t="s">
        <v>220</v>
      </c>
      <c r="D152">
        <v>298.14999999999998</v>
      </c>
      <c r="E152" s="1">
        <v>6.0999999999999997E-4</v>
      </c>
      <c r="F152">
        <v>-3.2146701649999998</v>
      </c>
      <c r="G152" t="s">
        <v>14</v>
      </c>
      <c r="H152" t="s">
        <v>11</v>
      </c>
      <c r="I152">
        <f t="shared" ca="1" si="8"/>
        <v>-2.3548167085772489</v>
      </c>
      <c r="J152">
        <f t="shared" ca="1" si="9"/>
        <v>4.4175684888640302E-3</v>
      </c>
      <c r="K152">
        <f t="shared" ca="1" si="10"/>
        <v>0.73934796652215162</v>
      </c>
      <c r="L152">
        <f t="shared" si="11"/>
        <v>3.3157490454964278</v>
      </c>
      <c r="M152">
        <v>2.2567085658263988</v>
      </c>
    </row>
    <row r="153" spans="1:13" x14ac:dyDescent="0.3">
      <c r="A153">
        <v>455</v>
      </c>
      <c r="B153" t="s">
        <v>221</v>
      </c>
      <c r="C153" t="s">
        <v>141</v>
      </c>
      <c r="D153">
        <v>298.14999999999998</v>
      </c>
      <c r="E153" s="1">
        <v>5.8799999999999998E-4</v>
      </c>
      <c r="F153">
        <v>-3.2306226740000001</v>
      </c>
      <c r="G153" t="s">
        <v>14</v>
      </c>
      <c r="H153" t="s">
        <v>11</v>
      </c>
      <c r="I153">
        <f t="shared" ca="1" si="8"/>
        <v>-2.7463525771182891</v>
      </c>
      <c r="J153">
        <f t="shared" ca="1" si="9"/>
        <v>1.7932771836871527E-3</v>
      </c>
      <c r="K153">
        <f t="shared" ca="1" si="10"/>
        <v>0.23451752673382184</v>
      </c>
      <c r="L153">
        <f t="shared" si="11"/>
        <v>3.2579070479275898</v>
      </c>
      <c r="M153">
        <v>2.2567085658263988</v>
      </c>
    </row>
    <row r="154" spans="1:13" x14ac:dyDescent="0.3">
      <c r="A154">
        <v>456</v>
      </c>
      <c r="B154" t="s">
        <v>222</v>
      </c>
      <c r="C154" t="s">
        <v>141</v>
      </c>
      <c r="D154">
        <v>298.14999999999998</v>
      </c>
      <c r="E154" s="1">
        <v>5.5400000000000002E-4</v>
      </c>
      <c r="F154">
        <v>-3.2564902349999998</v>
      </c>
      <c r="G154" t="s">
        <v>14</v>
      </c>
      <c r="H154" t="s">
        <v>11</v>
      </c>
      <c r="I154">
        <f t="shared" ca="1" si="8"/>
        <v>-2.6959252576547783</v>
      </c>
      <c r="J154">
        <f t="shared" ca="1" si="9"/>
        <v>2.0140708428575825E-3</v>
      </c>
      <c r="K154">
        <f t="shared" ca="1" si="10"/>
        <v>0.31423309382604869</v>
      </c>
      <c r="L154">
        <f t="shared" si="11"/>
        <v>3.1651959738230562</v>
      </c>
      <c r="M154">
        <v>2.2567085658263988</v>
      </c>
    </row>
    <row r="155" spans="1:13" x14ac:dyDescent="0.3">
      <c r="A155">
        <v>457</v>
      </c>
      <c r="B155" t="s">
        <v>223</v>
      </c>
      <c r="C155" t="s">
        <v>141</v>
      </c>
      <c r="D155">
        <v>298.14999999999998</v>
      </c>
      <c r="E155" s="1">
        <v>3.5100000000000002E-4</v>
      </c>
      <c r="F155">
        <v>-3.454692884</v>
      </c>
      <c r="G155" t="s">
        <v>14</v>
      </c>
      <c r="H155" t="s">
        <v>11</v>
      </c>
      <c r="I155">
        <f t="shared" ca="1" si="8"/>
        <v>-2.742181210794624</v>
      </c>
      <c r="J155">
        <f t="shared" ca="1" si="9"/>
        <v>1.8105844626904147E-3</v>
      </c>
      <c r="K155">
        <f t="shared" ca="1" si="10"/>
        <v>0.50767288445392456</v>
      </c>
      <c r="L155">
        <f t="shared" si="11"/>
        <v>2.4992356913771174</v>
      </c>
      <c r="M155">
        <v>2.2567085658263988</v>
      </c>
    </row>
    <row r="156" spans="1:13" x14ac:dyDescent="0.3">
      <c r="A156">
        <v>458</v>
      </c>
      <c r="B156" t="s">
        <v>224</v>
      </c>
      <c r="C156" t="s">
        <v>141</v>
      </c>
      <c r="D156">
        <v>298.14999999999998</v>
      </c>
      <c r="E156" s="1">
        <v>5.1500000000000005E-4</v>
      </c>
      <c r="F156">
        <v>-3.2881927709999998</v>
      </c>
      <c r="G156" t="s">
        <v>14</v>
      </c>
      <c r="H156" t="s">
        <v>11</v>
      </c>
      <c r="I156">
        <f t="shared" ca="1" si="8"/>
        <v>-2.475288736068884</v>
      </c>
      <c r="J156">
        <f t="shared" ca="1" si="9"/>
        <v>3.3474281495981415E-3</v>
      </c>
      <c r="K156">
        <f t="shared" ca="1" si="10"/>
        <v>0.66081297000728878</v>
      </c>
      <c r="L156">
        <f t="shared" si="11"/>
        <v>3.0533970759168789</v>
      </c>
      <c r="M156">
        <v>2.2567085658263988</v>
      </c>
    </row>
    <row r="157" spans="1:13" x14ac:dyDescent="0.3">
      <c r="A157">
        <v>459</v>
      </c>
      <c r="B157" t="s">
        <v>225</v>
      </c>
      <c r="C157" t="s">
        <v>141</v>
      </c>
      <c r="D157">
        <v>298.14999999999998</v>
      </c>
      <c r="E157" s="1">
        <v>4.0099999999999999E-4</v>
      </c>
      <c r="F157">
        <v>-3.3968556269999999</v>
      </c>
      <c r="G157" t="s">
        <v>14</v>
      </c>
      <c r="H157" t="s">
        <v>11</v>
      </c>
      <c r="I157">
        <f t="shared" ca="1" si="8"/>
        <v>-2.3240539460123335</v>
      </c>
      <c r="J157">
        <f t="shared" ca="1" si="9"/>
        <v>4.7418308081593518E-3</v>
      </c>
      <c r="K157">
        <f t="shared" ca="1" si="10"/>
        <v>1.1509034467299626</v>
      </c>
      <c r="L157">
        <f t="shared" si="11"/>
        <v>2.6854503452517036</v>
      </c>
      <c r="M157">
        <v>2.2567085658263988</v>
      </c>
    </row>
    <row r="158" spans="1:13" x14ac:dyDescent="0.3">
      <c r="A158">
        <v>460</v>
      </c>
      <c r="B158" t="s">
        <v>226</v>
      </c>
      <c r="C158" t="s">
        <v>141</v>
      </c>
      <c r="D158">
        <v>298.14999999999998</v>
      </c>
      <c r="E158" s="1">
        <v>3.86E-4</v>
      </c>
      <c r="F158">
        <v>-3.4134126949999999</v>
      </c>
      <c r="G158" t="s">
        <v>14</v>
      </c>
      <c r="H158" t="s">
        <v>11</v>
      </c>
      <c r="I158">
        <f t="shared" ca="1" si="8"/>
        <v>-2.6997230310669469</v>
      </c>
      <c r="J158">
        <f t="shared" ca="1" si="9"/>
        <v>1.9965351884499881E-3</v>
      </c>
      <c r="K158">
        <f t="shared" ca="1" si="10"/>
        <v>0.50935293640487411</v>
      </c>
      <c r="L158">
        <f t="shared" si="11"/>
        <v>2.6314592088570636</v>
      </c>
      <c r="M158">
        <v>2.2567085658263988</v>
      </c>
    </row>
    <row r="159" spans="1:13" x14ac:dyDescent="0.3">
      <c r="A159">
        <v>461</v>
      </c>
      <c r="B159" t="s">
        <v>227</v>
      </c>
      <c r="C159" t="s">
        <v>141</v>
      </c>
      <c r="D159">
        <v>298.14999999999998</v>
      </c>
      <c r="E159" s="1">
        <v>2.9999999999999997E-4</v>
      </c>
      <c r="F159">
        <v>-3.5228787449999999</v>
      </c>
      <c r="G159" t="s">
        <v>14</v>
      </c>
      <c r="H159" t="s">
        <v>11</v>
      </c>
      <c r="I159">
        <f t="shared" ca="1" si="8"/>
        <v>-2.9345653081766692</v>
      </c>
      <c r="J159">
        <f t="shared" ca="1" si="9"/>
        <v>1.1626117070595485E-3</v>
      </c>
      <c r="K159">
        <f t="shared" ca="1" si="10"/>
        <v>0.34611269994687915</v>
      </c>
      <c r="L159">
        <f t="shared" si="11"/>
        <v>2.2882953410036753</v>
      </c>
      <c r="M159">
        <v>2.2567085658263988</v>
      </c>
    </row>
    <row r="160" spans="1:13" x14ac:dyDescent="0.3">
      <c r="A160">
        <v>462</v>
      </c>
      <c r="B160" t="s">
        <v>228</v>
      </c>
      <c r="C160" t="s">
        <v>141</v>
      </c>
      <c r="D160">
        <v>298.14999999999998</v>
      </c>
      <c r="E160" s="1">
        <v>2.04E-4</v>
      </c>
      <c r="F160">
        <v>-3.6903698330000001</v>
      </c>
      <c r="G160" t="s">
        <v>14</v>
      </c>
      <c r="H160" t="s">
        <v>11</v>
      </c>
      <c r="I160">
        <f t="shared" ca="1" si="8"/>
        <v>-2.7668897105436443</v>
      </c>
      <c r="J160">
        <f t="shared" ca="1" si="9"/>
        <v>1.7104496300919501E-3</v>
      </c>
      <c r="K160">
        <f t="shared" ca="1" si="10"/>
        <v>0.85281553657200593</v>
      </c>
      <c r="L160">
        <f t="shared" si="11"/>
        <v>1.8096172977035077</v>
      </c>
      <c r="M160">
        <v>2.2567085658263988</v>
      </c>
    </row>
    <row r="161" spans="1:13" x14ac:dyDescent="0.3">
      <c r="A161">
        <v>463</v>
      </c>
      <c r="B161" t="s">
        <v>229</v>
      </c>
      <c r="C161" t="s">
        <v>141</v>
      </c>
      <c r="D161">
        <v>298.14999999999998</v>
      </c>
      <c r="E161" s="1">
        <v>1.75E-4</v>
      </c>
      <c r="F161">
        <v>-3.7569619510000001</v>
      </c>
      <c r="G161" t="s">
        <v>14</v>
      </c>
      <c r="H161" t="s">
        <v>11</v>
      </c>
      <c r="I161">
        <f t="shared" ca="1" si="8"/>
        <v>-3.3112910094304362</v>
      </c>
      <c r="J161">
        <f t="shared" ca="1" si="9"/>
        <v>4.8832503579105421E-4</v>
      </c>
      <c r="K161">
        <f t="shared" ca="1" si="10"/>
        <v>0.19862258815950162</v>
      </c>
      <c r="L161">
        <f t="shared" si="11"/>
        <v>1.6348896876895462</v>
      </c>
      <c r="M161">
        <v>2.2567085658263988</v>
      </c>
    </row>
    <row r="162" spans="1:13" x14ac:dyDescent="0.3">
      <c r="A162">
        <v>464</v>
      </c>
      <c r="B162" t="s">
        <v>230</v>
      </c>
      <c r="C162" t="s">
        <v>141</v>
      </c>
      <c r="D162">
        <v>298.14999999999998</v>
      </c>
      <c r="E162" s="1">
        <v>1.4999999999999999E-4</v>
      </c>
      <c r="F162">
        <v>-3.8239087409999999</v>
      </c>
      <c r="G162" t="s">
        <v>14</v>
      </c>
      <c r="H162" t="s">
        <v>11</v>
      </c>
      <c r="I162">
        <f t="shared" ca="1" si="8"/>
        <v>-2.9668094715464104</v>
      </c>
      <c r="J162">
        <f t="shared" ca="1" si="9"/>
        <v>1.0794201686084145E-3</v>
      </c>
      <c r="K162">
        <f t="shared" ca="1" si="10"/>
        <v>0.73461915769787678</v>
      </c>
      <c r="L162">
        <f t="shared" si="11"/>
        <v>1.4681714734118254</v>
      </c>
      <c r="M162">
        <v>2.2567085658263988</v>
      </c>
    </row>
    <row r="163" spans="1:13" x14ac:dyDescent="0.3">
      <c r="A163">
        <v>465</v>
      </c>
      <c r="B163" t="s">
        <v>231</v>
      </c>
      <c r="C163" t="s">
        <v>141</v>
      </c>
      <c r="D163">
        <v>298.14999999999998</v>
      </c>
      <c r="E163" s="1">
        <v>5.4400000000000001E-5</v>
      </c>
      <c r="F163">
        <v>-4.2644010999999997</v>
      </c>
      <c r="G163" t="s">
        <v>14</v>
      </c>
      <c r="H163" t="s">
        <v>11</v>
      </c>
      <c r="I163">
        <f t="shared" ca="1" si="8"/>
        <v>-3.3536933995275886</v>
      </c>
      <c r="J163">
        <f t="shared" ca="1" si="9"/>
        <v>4.4290093842210774E-4</v>
      </c>
      <c r="K163">
        <f t="shared" ca="1" si="10"/>
        <v>0.82938851569974692</v>
      </c>
      <c r="L163">
        <f t="shared" si="11"/>
        <v>0.59473231948321048</v>
      </c>
      <c r="M163">
        <v>2.2567085658263988</v>
      </c>
    </row>
    <row r="164" spans="1:13" x14ac:dyDescent="0.3">
      <c r="A164">
        <v>466</v>
      </c>
      <c r="B164" t="s">
        <v>232</v>
      </c>
      <c r="C164" t="s">
        <v>141</v>
      </c>
      <c r="D164">
        <v>298.14999999999998</v>
      </c>
      <c r="E164" s="1">
        <v>1.8300000000000001E-5</v>
      </c>
      <c r="F164">
        <v>-4.7375489100000001</v>
      </c>
      <c r="G164" t="s">
        <v>14</v>
      </c>
      <c r="H164" t="s">
        <v>11</v>
      </c>
      <c r="I164">
        <f t="shared" ca="1" si="8"/>
        <v>-3.9669697541142872</v>
      </c>
      <c r="J164">
        <f t="shared" ca="1" si="9"/>
        <v>1.0790218667158928E-4</v>
      </c>
      <c r="K164">
        <f t="shared" ca="1" si="10"/>
        <v>0.59379223548553783</v>
      </c>
      <c r="L164">
        <f t="shared" si="11"/>
        <v>8.8828491328388035E-2</v>
      </c>
      <c r="M164">
        <v>2.2567085658263988</v>
      </c>
    </row>
    <row r="165" spans="1:13" x14ac:dyDescent="0.3">
      <c r="A165">
        <v>467</v>
      </c>
      <c r="B165" t="s">
        <v>233</v>
      </c>
      <c r="C165" t="s">
        <v>220</v>
      </c>
      <c r="D165">
        <v>298.14999999999998</v>
      </c>
      <c r="E165" s="1">
        <v>5.2800000000000004E-4</v>
      </c>
      <c r="F165">
        <v>-3.2773660769999999</v>
      </c>
      <c r="G165" t="s">
        <v>14</v>
      </c>
      <c r="H165" t="s">
        <v>11</v>
      </c>
      <c r="I165">
        <f t="shared" ca="1" si="8"/>
        <v>-2.2758079861050815</v>
      </c>
      <c r="J165">
        <f t="shared" ca="1" si="9"/>
        <v>5.29897674882936E-3</v>
      </c>
      <c r="K165">
        <f t="shared" ca="1" si="10"/>
        <v>1.0031186094370736</v>
      </c>
      <c r="L165">
        <f t="shared" si="11"/>
        <v>3.09135136340951</v>
      </c>
      <c r="M165">
        <v>2.2567085658263988</v>
      </c>
    </row>
    <row r="166" spans="1:13" x14ac:dyDescent="0.3">
      <c r="A166">
        <v>468</v>
      </c>
      <c r="B166" t="s">
        <v>234</v>
      </c>
      <c r="C166" t="s">
        <v>220</v>
      </c>
      <c r="D166">
        <v>298.14999999999998</v>
      </c>
      <c r="E166" s="1">
        <v>5.2800000000000004E-4</v>
      </c>
      <c r="F166">
        <v>-3.2773660769999999</v>
      </c>
      <c r="G166" t="s">
        <v>14</v>
      </c>
      <c r="H166" t="s">
        <v>11</v>
      </c>
      <c r="I166">
        <f t="shared" ca="1" si="8"/>
        <v>-2.3311086114413611</v>
      </c>
      <c r="J166">
        <f t="shared" ca="1" si="9"/>
        <v>4.6654268942185216E-3</v>
      </c>
      <c r="K166">
        <f t="shared" ca="1" si="10"/>
        <v>0.89540319112545863</v>
      </c>
      <c r="L166">
        <f t="shared" si="11"/>
        <v>3.09135136340951</v>
      </c>
      <c r="M166">
        <v>2.2567085658263988</v>
      </c>
    </row>
    <row r="167" spans="1:13" x14ac:dyDescent="0.3">
      <c r="A167">
        <v>469</v>
      </c>
      <c r="B167" t="s">
        <v>235</v>
      </c>
      <c r="C167" t="s">
        <v>220</v>
      </c>
      <c r="D167">
        <v>298.14999999999998</v>
      </c>
      <c r="E167" s="1">
        <v>4.9700000000000005E-4</v>
      </c>
      <c r="F167">
        <v>-3.303643611</v>
      </c>
      <c r="G167" t="s">
        <v>14</v>
      </c>
      <c r="H167" t="s">
        <v>11</v>
      </c>
      <c r="I167">
        <f t="shared" ca="1" si="8"/>
        <v>-2.7043928958619698</v>
      </c>
      <c r="J167">
        <f t="shared" ca="1" si="9"/>
        <v>1.9751819315901109E-3</v>
      </c>
      <c r="K167">
        <f t="shared" ca="1" si="10"/>
        <v>0.35910141959344061</v>
      </c>
      <c r="L167">
        <f t="shared" si="11"/>
        <v>2.9996382943701394</v>
      </c>
      <c r="M167">
        <v>2.2567085658263988</v>
      </c>
    </row>
    <row r="168" spans="1:13" x14ac:dyDescent="0.3">
      <c r="A168">
        <v>470</v>
      </c>
      <c r="B168" t="s">
        <v>236</v>
      </c>
      <c r="C168" t="s">
        <v>220</v>
      </c>
      <c r="D168">
        <v>298.14999999999998</v>
      </c>
      <c r="E168" s="1">
        <v>2.8200000000000002E-4</v>
      </c>
      <c r="F168">
        <v>-3.549750892</v>
      </c>
      <c r="G168" t="s">
        <v>14</v>
      </c>
      <c r="H168" t="s">
        <v>11</v>
      </c>
      <c r="I168">
        <f t="shared" ca="1" si="8"/>
        <v>-3.062910797188914</v>
      </c>
      <c r="J168">
        <f t="shared" ca="1" si="9"/>
        <v>8.6514559889271222E-4</v>
      </c>
      <c r="K168">
        <f t="shared" ca="1" si="10"/>
        <v>0.23701327791566723</v>
      </c>
      <c r="L168">
        <f t="shared" si="11"/>
        <v>2.2077178548622354</v>
      </c>
      <c r="M168">
        <v>2.2567085658263988</v>
      </c>
    </row>
    <row r="169" spans="1:13" x14ac:dyDescent="0.3">
      <c r="A169">
        <v>471</v>
      </c>
      <c r="B169" t="s">
        <v>237</v>
      </c>
      <c r="C169" t="s">
        <v>238</v>
      </c>
      <c r="D169">
        <v>298.14999999999998</v>
      </c>
      <c r="E169" s="1">
        <v>2.0000000000000001E-9</v>
      </c>
      <c r="F169">
        <v>-8.6989700039999995</v>
      </c>
      <c r="G169" t="s">
        <v>14</v>
      </c>
      <c r="H169" t="s">
        <v>11</v>
      </c>
      <c r="I169">
        <f t="shared" ca="1" si="8"/>
        <v>-7.2743084593238798</v>
      </c>
      <c r="J169">
        <f t="shared" ca="1" si="9"/>
        <v>5.3173046151387734E-8</v>
      </c>
      <c r="K169">
        <f t="shared" ca="1" si="10"/>
        <v>2.0296605168789474</v>
      </c>
      <c r="L169">
        <f t="shared" si="11"/>
        <v>13.420353053707036</v>
      </c>
      <c r="M169">
        <v>2.2567085658263988</v>
      </c>
    </row>
    <row r="170" spans="1:13" x14ac:dyDescent="0.3">
      <c r="A170">
        <v>472</v>
      </c>
      <c r="B170" t="s">
        <v>239</v>
      </c>
      <c r="C170" t="s">
        <v>240</v>
      </c>
      <c r="D170">
        <v>298.14999999999998</v>
      </c>
      <c r="E170" s="1">
        <v>2.9799999999999999E-5</v>
      </c>
      <c r="F170">
        <v>-4.5257837360000002</v>
      </c>
      <c r="G170" t="s">
        <v>14</v>
      </c>
      <c r="H170" t="s">
        <v>11</v>
      </c>
      <c r="I170">
        <f t="shared" ca="1" si="8"/>
        <v>-3.9811111661786382</v>
      </c>
      <c r="J170">
        <f t="shared" ca="1" si="9"/>
        <v>1.0444528368413706E-4</v>
      </c>
      <c r="K170">
        <f t="shared" ca="1" si="10"/>
        <v>0.29666820831580637</v>
      </c>
      <c r="L170">
        <f t="shared" si="11"/>
        <v>0.25990242681363751</v>
      </c>
      <c r="M170">
        <v>2.2567085658263988</v>
      </c>
    </row>
    <row r="171" spans="1:13" x14ac:dyDescent="0.3">
      <c r="A171">
        <v>473</v>
      </c>
      <c r="B171" t="s">
        <v>241</v>
      </c>
      <c r="C171" t="s">
        <v>240</v>
      </c>
      <c r="D171">
        <v>298.14999999999998</v>
      </c>
      <c r="E171" s="1">
        <v>1.17E-4</v>
      </c>
      <c r="F171">
        <v>-3.931814138</v>
      </c>
      <c r="G171" t="s">
        <v>14</v>
      </c>
      <c r="H171" t="s">
        <v>11</v>
      </c>
      <c r="I171">
        <f t="shared" ca="1" si="8"/>
        <v>-3.178848288148362</v>
      </c>
      <c r="J171">
        <f t="shared" ca="1" si="9"/>
        <v>6.6244787583766176E-4</v>
      </c>
      <c r="K171">
        <f t="shared" ca="1" si="10"/>
        <v>0.56695757104279954</v>
      </c>
      <c r="L171">
        <f t="shared" si="11"/>
        <v>1.218321153533843</v>
      </c>
      <c r="M171">
        <v>2.2567085658263988</v>
      </c>
    </row>
    <row r="172" spans="1:13" x14ac:dyDescent="0.3">
      <c r="A172">
        <v>474</v>
      </c>
      <c r="B172" t="s">
        <v>144</v>
      </c>
      <c r="C172" t="s">
        <v>240</v>
      </c>
      <c r="D172">
        <v>298.14999999999998</v>
      </c>
      <c r="E172" s="1">
        <v>2.44E-5</v>
      </c>
      <c r="F172">
        <v>-4.6126101740000003</v>
      </c>
      <c r="G172" t="s">
        <v>14</v>
      </c>
      <c r="H172" t="s">
        <v>11</v>
      </c>
      <c r="I172">
        <f t="shared" ca="1" si="8"/>
        <v>-3.6419259727399167</v>
      </c>
      <c r="J172">
        <f t="shared" ca="1" si="9"/>
        <v>2.2807307987065013E-4</v>
      </c>
      <c r="K172">
        <f t="shared" ca="1" si="10"/>
        <v>0.94222781857592641</v>
      </c>
      <c r="L172">
        <f t="shared" si="11"/>
        <v>0.17891193320299004</v>
      </c>
      <c r="M172">
        <v>2.2567085658263988</v>
      </c>
    </row>
    <row r="173" spans="1:13" x14ac:dyDescent="0.3">
      <c r="A173">
        <v>475</v>
      </c>
      <c r="B173" t="s">
        <v>242</v>
      </c>
      <c r="C173" t="s">
        <v>240</v>
      </c>
      <c r="D173">
        <v>298.14999999999998</v>
      </c>
      <c r="E173" s="1">
        <v>3.6699999999999998E-5</v>
      </c>
      <c r="F173">
        <v>-4.4353339360000001</v>
      </c>
      <c r="G173" t="s">
        <v>14</v>
      </c>
      <c r="H173" t="s">
        <v>11</v>
      </c>
      <c r="I173">
        <f t="shared" ca="1" si="8"/>
        <v>-3.3043532793956665</v>
      </c>
      <c r="J173">
        <f t="shared" ca="1" si="9"/>
        <v>4.961885297670172E-4</v>
      </c>
      <c r="K173">
        <f t="shared" ca="1" si="10"/>
        <v>1.2791172456131696</v>
      </c>
      <c r="L173">
        <f t="shared" si="11"/>
        <v>0.36030734236877193</v>
      </c>
      <c r="M173">
        <v>2.2567085658263988</v>
      </c>
    </row>
    <row r="174" spans="1:13" x14ac:dyDescent="0.3">
      <c r="A174">
        <v>476</v>
      </c>
      <c r="B174" t="s">
        <v>243</v>
      </c>
      <c r="C174" t="s">
        <v>240</v>
      </c>
      <c r="D174">
        <v>298.14999999999998</v>
      </c>
      <c r="E174" s="1">
        <v>2.51E-5</v>
      </c>
      <c r="F174">
        <v>-4.6003262789999999</v>
      </c>
      <c r="G174" t="s">
        <v>14</v>
      </c>
      <c r="H174" t="s">
        <v>11</v>
      </c>
      <c r="I174">
        <f t="shared" ca="1" si="8"/>
        <v>-4.0714919731673831</v>
      </c>
      <c r="J174">
        <f t="shared" ca="1" si="9"/>
        <v>8.4821905948671557E-5</v>
      </c>
      <c r="K174">
        <f t="shared" ca="1" si="10"/>
        <v>0.27966572302546572</v>
      </c>
      <c r="L174">
        <f t="shared" si="11"/>
        <v>0.18945450681876594</v>
      </c>
      <c r="M174">
        <v>2.2567085658263988</v>
      </c>
    </row>
    <row r="175" spans="1:13" x14ac:dyDescent="0.3">
      <c r="A175">
        <v>477</v>
      </c>
      <c r="B175" t="s">
        <v>244</v>
      </c>
      <c r="C175" t="s">
        <v>240</v>
      </c>
      <c r="D175">
        <v>298.14999999999998</v>
      </c>
      <c r="E175" s="1">
        <v>2.37E-5</v>
      </c>
      <c r="F175">
        <v>-4.6252516540000004</v>
      </c>
      <c r="G175" t="s">
        <v>14</v>
      </c>
      <c r="H175" t="s">
        <v>11</v>
      </c>
      <c r="I175">
        <f t="shared" ca="1" si="8"/>
        <v>-3.7529566663359715</v>
      </c>
      <c r="J175">
        <f t="shared" ca="1" si="9"/>
        <v>1.7662140437580735E-4</v>
      </c>
      <c r="K175">
        <f t="shared" ca="1" si="10"/>
        <v>0.76089854550378833</v>
      </c>
      <c r="L175">
        <f t="shared" si="11"/>
        <v>0.16837755819801542</v>
      </c>
      <c r="M175">
        <v>2.2567085658263988</v>
      </c>
    </row>
    <row r="176" spans="1:13" x14ac:dyDescent="0.3">
      <c r="A176">
        <v>478</v>
      </c>
      <c r="B176" t="s">
        <v>245</v>
      </c>
      <c r="C176" t="s">
        <v>240</v>
      </c>
      <c r="D176">
        <v>298.14999999999998</v>
      </c>
      <c r="E176" s="1">
        <v>2.4300000000000001E-5</v>
      </c>
      <c r="F176">
        <v>-4.6143937260000003</v>
      </c>
      <c r="G176" t="s">
        <v>14</v>
      </c>
      <c r="H176" t="s">
        <v>11</v>
      </c>
      <c r="I176">
        <f t="shared" ca="1" si="8"/>
        <v>-4.14794283832408</v>
      </c>
      <c r="J176">
        <f t="shared" ca="1" si="9"/>
        <v>7.1130712946847519E-5</v>
      </c>
      <c r="K176">
        <f t="shared" ca="1" si="10"/>
        <v>0.21757643061365406</v>
      </c>
      <c r="L176">
        <f t="shared" si="11"/>
        <v>0.17740630123148282</v>
      </c>
      <c r="M176">
        <v>2.2567085658263988</v>
      </c>
    </row>
    <row r="177" spans="1:13" x14ac:dyDescent="0.3">
      <c r="A177">
        <v>479</v>
      </c>
      <c r="B177" t="s">
        <v>246</v>
      </c>
      <c r="C177" t="s">
        <v>240</v>
      </c>
      <c r="D177">
        <v>298.14999999999998</v>
      </c>
      <c r="E177" s="1">
        <v>9.2199999999999998E-6</v>
      </c>
      <c r="F177">
        <v>-5.0352690789999999</v>
      </c>
      <c r="G177" t="s">
        <v>14</v>
      </c>
      <c r="H177" t="s">
        <v>11</v>
      </c>
      <c r="I177">
        <f t="shared" ca="1" si="8"/>
        <v>-4.6178671757250989</v>
      </c>
      <c r="J177">
        <f t="shared" ca="1" si="9"/>
        <v>2.4106425849437259E-5</v>
      </c>
      <c r="K177">
        <f t="shared" ca="1" si="10"/>
        <v>0.17422434885750981</v>
      </c>
      <c r="L177">
        <f t="shared" si="11"/>
        <v>1.0299028824109022E-7</v>
      </c>
      <c r="M177">
        <v>2.2567085658263988</v>
      </c>
    </row>
    <row r="178" spans="1:13" x14ac:dyDescent="0.3">
      <c r="A178">
        <v>480</v>
      </c>
      <c r="B178" t="s">
        <v>247</v>
      </c>
      <c r="C178" t="s">
        <v>240</v>
      </c>
      <c r="D178">
        <v>298.14999999999998</v>
      </c>
      <c r="E178" s="1">
        <v>5.75E-6</v>
      </c>
      <c r="F178">
        <v>-5.2403321549999999</v>
      </c>
      <c r="G178" t="s">
        <v>14</v>
      </c>
      <c r="H178" t="s">
        <v>11</v>
      </c>
      <c r="I178">
        <f t="shared" ca="1" si="8"/>
        <v>-4.6327772133506295</v>
      </c>
      <c r="J178">
        <f t="shared" ca="1" si="9"/>
        <v>2.3292858404412381E-5</v>
      </c>
      <c r="K178">
        <f t="shared" ca="1" si="10"/>
        <v>0.3691230071225699</v>
      </c>
      <c r="L178">
        <f t="shared" si="11"/>
        <v>4.1919350034043998E-2</v>
      </c>
      <c r="M178">
        <v>2.2567085658263988</v>
      </c>
    </row>
    <row r="179" spans="1:13" x14ac:dyDescent="0.3">
      <c r="A179">
        <v>481</v>
      </c>
      <c r="B179" t="s">
        <v>248</v>
      </c>
      <c r="C179" t="s">
        <v>249</v>
      </c>
      <c r="D179">
        <v>298.14999999999998</v>
      </c>
      <c r="E179" s="1">
        <v>1.01E-3</v>
      </c>
      <c r="F179">
        <v>-2.9956786260000001</v>
      </c>
      <c r="G179" t="s">
        <v>14</v>
      </c>
      <c r="H179" t="s">
        <v>11</v>
      </c>
      <c r="I179">
        <f t="shared" ca="1" si="8"/>
        <v>-2.5242825227929528</v>
      </c>
      <c r="J179">
        <f t="shared" ca="1" si="9"/>
        <v>2.9903187034164016E-3</v>
      </c>
      <c r="K179">
        <f t="shared" ca="1" si="10"/>
        <v>0.22221428611878918</v>
      </c>
      <c r="L179">
        <f t="shared" si="11"/>
        <v>4.1612384137745675</v>
      </c>
      <c r="M179">
        <v>2.2567085658263988</v>
      </c>
    </row>
    <row r="180" spans="1:13" x14ac:dyDescent="0.3">
      <c r="A180">
        <v>482</v>
      </c>
      <c r="B180" t="s">
        <v>250</v>
      </c>
      <c r="C180" t="s">
        <v>249</v>
      </c>
      <c r="D180">
        <v>298.14999999999998</v>
      </c>
      <c r="E180" s="1">
        <v>1E-3</v>
      </c>
      <c r="F180">
        <v>-3</v>
      </c>
      <c r="G180" t="s">
        <v>14</v>
      </c>
      <c r="H180" t="s">
        <v>11</v>
      </c>
      <c r="I180">
        <f t="shared" ca="1" si="8"/>
        <v>-2.4738949082799455</v>
      </c>
      <c r="J180">
        <f t="shared" ca="1" si="9"/>
        <v>3.3581886674361613E-3</v>
      </c>
      <c r="K180">
        <f t="shared" ca="1" si="10"/>
        <v>0.27678656753376696</v>
      </c>
      <c r="L180">
        <f t="shared" si="11"/>
        <v>4.1436266480999997</v>
      </c>
      <c r="M180">
        <v>2.2567085658263988</v>
      </c>
    </row>
    <row r="181" spans="1:13" x14ac:dyDescent="0.3">
      <c r="A181">
        <v>483</v>
      </c>
      <c r="B181" t="s">
        <v>251</v>
      </c>
      <c r="C181" t="s">
        <v>249</v>
      </c>
      <c r="D181">
        <v>298.14999999999998</v>
      </c>
      <c r="E181" s="1">
        <v>7.3700000000000002E-4</v>
      </c>
      <c r="F181">
        <v>-3.132532512</v>
      </c>
      <c r="G181" t="s">
        <v>14</v>
      </c>
      <c r="H181" t="s">
        <v>11</v>
      </c>
      <c r="I181">
        <f t="shared" ca="1" si="8"/>
        <v>-2.4865174841962236</v>
      </c>
      <c r="J181">
        <f t="shared" ca="1" si="9"/>
        <v>3.2619891773675081E-3</v>
      </c>
      <c r="K181">
        <f t="shared" ca="1" si="10"/>
        <v>0.41733541614831399</v>
      </c>
      <c r="L181">
        <f t="shared" si="11"/>
        <v>3.6216278026328701</v>
      </c>
      <c r="M181">
        <v>2.2567085658263988</v>
      </c>
    </row>
    <row r="182" spans="1:13" x14ac:dyDescent="0.3">
      <c r="A182">
        <v>484</v>
      </c>
      <c r="B182" t="s">
        <v>252</v>
      </c>
      <c r="C182" t="s">
        <v>249</v>
      </c>
      <c r="D182">
        <v>298.14999999999998</v>
      </c>
      <c r="E182" s="1">
        <v>6.1799999999999995E-4</v>
      </c>
      <c r="F182">
        <v>-3.2090115250000002</v>
      </c>
      <c r="G182" t="s">
        <v>14</v>
      </c>
      <c r="H182" t="s">
        <v>11</v>
      </c>
      <c r="I182">
        <f t="shared" ca="1" si="8"/>
        <v>-2.5704888930249705</v>
      </c>
      <c r="J182">
        <f t="shared" ca="1" si="9"/>
        <v>2.6885066000833136E-3</v>
      </c>
      <c r="K182">
        <f t="shared" ca="1" si="10"/>
        <v>0.40771115154431919</v>
      </c>
      <c r="L182">
        <f t="shared" si="11"/>
        <v>3.336388925333325</v>
      </c>
      <c r="M182">
        <v>2.2567085658263988</v>
      </c>
    </row>
    <row r="183" spans="1:13" x14ac:dyDescent="0.3">
      <c r="A183">
        <v>485</v>
      </c>
      <c r="B183" t="s">
        <v>253</v>
      </c>
      <c r="C183" t="s">
        <v>249</v>
      </c>
      <c r="D183">
        <v>298.14999999999998</v>
      </c>
      <c r="E183" s="1">
        <v>7.0199999999999999E-5</v>
      </c>
      <c r="F183">
        <v>-4.1536628880000004</v>
      </c>
      <c r="G183" t="s">
        <v>14</v>
      </c>
      <c r="H183" t="s">
        <v>11</v>
      </c>
      <c r="I183">
        <f t="shared" ca="1" si="8"/>
        <v>-3.6448553535011992</v>
      </c>
      <c r="J183">
        <f t="shared" ca="1" si="9"/>
        <v>2.2653986976225969E-4</v>
      </c>
      <c r="K183">
        <f t="shared" ca="1" si="10"/>
        <v>0.25888510716274882</v>
      </c>
      <c r="L183">
        <f t="shared" si="11"/>
        <v>0.77779543088065983</v>
      </c>
      <c r="M183">
        <v>2.2567085658263988</v>
      </c>
    </row>
    <row r="184" spans="1:13" x14ac:dyDescent="0.3">
      <c r="A184">
        <v>486</v>
      </c>
      <c r="B184" t="s">
        <v>254</v>
      </c>
      <c r="C184" t="s">
        <v>255</v>
      </c>
      <c r="D184">
        <v>298.14999999999998</v>
      </c>
      <c r="E184" s="1">
        <v>2.9E-4</v>
      </c>
      <c r="F184">
        <v>-3.5376020019999999</v>
      </c>
      <c r="G184" t="s">
        <v>14</v>
      </c>
      <c r="H184" t="s">
        <v>11</v>
      </c>
      <c r="I184">
        <f t="shared" ca="1" si="8"/>
        <v>-3.0129294183573379</v>
      </c>
      <c r="J184">
        <f t="shared" ca="1" si="9"/>
        <v>9.7066770757422418E-4</v>
      </c>
      <c r="K184">
        <f t="shared" ca="1" si="10"/>
        <v>0.27528132002626615</v>
      </c>
      <c r="L184">
        <f t="shared" si="11"/>
        <v>2.2439680421520483</v>
      </c>
      <c r="M184">
        <v>2.2567085658263988</v>
      </c>
    </row>
    <row r="185" spans="1:13" x14ac:dyDescent="0.3">
      <c r="A185">
        <v>488</v>
      </c>
      <c r="B185" t="s">
        <v>256</v>
      </c>
      <c r="C185" t="s">
        <v>257</v>
      </c>
      <c r="D185">
        <v>298.14999999999998</v>
      </c>
      <c r="E185" s="1">
        <v>1.1E-4</v>
      </c>
      <c r="F185">
        <v>-3.9586073150000001</v>
      </c>
      <c r="G185" t="s">
        <v>57</v>
      </c>
      <c r="H185" t="s">
        <v>20</v>
      </c>
      <c r="I185">
        <f t="shared" ca="1" si="8"/>
        <v>-3.0781599000516682</v>
      </c>
      <c r="J185">
        <f t="shared" ca="1" si="9"/>
        <v>8.352954196378246E-4</v>
      </c>
      <c r="K185">
        <f t="shared" ca="1" si="10"/>
        <v>0.77518765048920013</v>
      </c>
      <c r="L185">
        <f t="shared" si="11"/>
        <v>1.1598917037898091</v>
      </c>
      <c r="M185">
        <v>2.2567085658263988</v>
      </c>
    </row>
    <row r="186" spans="1:13" x14ac:dyDescent="0.3">
      <c r="A186">
        <v>489</v>
      </c>
      <c r="B186" t="s">
        <v>258</v>
      </c>
      <c r="C186" t="s">
        <v>259</v>
      </c>
      <c r="D186">
        <v>298.14999999999998</v>
      </c>
      <c r="E186" s="1">
        <v>4.9999999999999998E-7</v>
      </c>
      <c r="F186">
        <v>-6.3010299959999996</v>
      </c>
      <c r="G186" t="s">
        <v>260</v>
      </c>
      <c r="H186" t="s">
        <v>38</v>
      </c>
      <c r="I186">
        <f t="shared" ca="1" si="8"/>
        <v>-5.1475624263607997</v>
      </c>
      <c r="J186">
        <f t="shared" ca="1" si="9"/>
        <v>7.1193045833049395E-6</v>
      </c>
      <c r="K186">
        <f t="shared" ca="1" si="10"/>
        <v>1.3304874342093622</v>
      </c>
      <c r="L186">
        <f t="shared" si="11"/>
        <v>1.6013383834764789</v>
      </c>
      <c r="M186">
        <v>2.2567085658263988</v>
      </c>
    </row>
    <row r="187" spans="1:13" x14ac:dyDescent="0.3">
      <c r="A187">
        <v>496</v>
      </c>
      <c r="B187" t="s">
        <v>26</v>
      </c>
      <c r="C187" t="s">
        <v>200</v>
      </c>
      <c r="D187">
        <v>298.14999999999998</v>
      </c>
      <c r="E187" s="1">
        <v>3.0000000000000001E-3</v>
      </c>
      <c r="F187">
        <v>-2.5228787449999999</v>
      </c>
      <c r="G187" t="s">
        <v>14</v>
      </c>
      <c r="H187" t="s">
        <v>11</v>
      </c>
      <c r="I187">
        <f t="shared" ca="1" si="8"/>
        <v>-1.8455619627226583</v>
      </c>
      <c r="J187">
        <f t="shared" ca="1" si="9"/>
        <v>1.4270462126183278E-2</v>
      </c>
      <c r="K187">
        <f t="shared" ca="1" si="10"/>
        <v>0.45875802355453177</v>
      </c>
      <c r="L187">
        <f t="shared" si="11"/>
        <v>6.313717851003676</v>
      </c>
      <c r="M187">
        <v>2.2567085658263988</v>
      </c>
    </row>
    <row r="188" spans="1:13" x14ac:dyDescent="0.3">
      <c r="A188">
        <v>502</v>
      </c>
      <c r="B188" t="s">
        <v>261</v>
      </c>
      <c r="C188" t="s">
        <v>262</v>
      </c>
      <c r="D188">
        <v>298.14999999999998</v>
      </c>
      <c r="E188" s="1">
        <v>2.5699999999999999E-7</v>
      </c>
      <c r="F188">
        <v>-6.5900668769999999</v>
      </c>
      <c r="G188" t="s">
        <v>19</v>
      </c>
      <c r="H188" t="s">
        <v>20</v>
      </c>
      <c r="I188">
        <f t="shared" ca="1" si="8"/>
        <v>-6.0790592937936676</v>
      </c>
      <c r="J188">
        <f t="shared" ca="1" si="9"/>
        <v>8.3356737072629661E-7</v>
      </c>
      <c r="K188">
        <f t="shared" ca="1" si="10"/>
        <v>0.26112875009437664</v>
      </c>
      <c r="L188">
        <f t="shared" si="11"/>
        <v>2.4163983611276727</v>
      </c>
      <c r="M188">
        <v>2.2567085658263988</v>
      </c>
    </row>
    <row r="189" spans="1:13" x14ac:dyDescent="0.3">
      <c r="A189">
        <v>504</v>
      </c>
      <c r="B189" t="s">
        <v>263</v>
      </c>
      <c r="C189" t="s">
        <v>264</v>
      </c>
      <c r="D189">
        <v>298.14999999999998</v>
      </c>
      <c r="E189" s="1">
        <v>1.06E-6</v>
      </c>
      <c r="F189">
        <v>-5.974694135</v>
      </c>
      <c r="G189" t="s">
        <v>37</v>
      </c>
      <c r="H189" t="s">
        <v>38</v>
      </c>
      <c r="I189">
        <f t="shared" ca="1" si="8"/>
        <v>-5.0958053972791459</v>
      </c>
      <c r="J189">
        <f t="shared" ca="1" si="9"/>
        <v>8.020373672633466E-6</v>
      </c>
      <c r="K189">
        <f t="shared" ca="1" si="10"/>
        <v>0.77244541329255623</v>
      </c>
      <c r="L189">
        <f t="shared" si="11"/>
        <v>0.88191657637409826</v>
      </c>
      <c r="M189">
        <v>2.2567085658263988</v>
      </c>
    </row>
    <row r="190" spans="1:13" x14ac:dyDescent="0.3">
      <c r="A190">
        <v>537</v>
      </c>
      <c r="B190" t="s">
        <v>265</v>
      </c>
      <c r="C190" t="s">
        <v>25</v>
      </c>
      <c r="D190">
        <v>298.14999999999998</v>
      </c>
      <c r="E190" s="1">
        <v>3.8000000000000002E-4</v>
      </c>
      <c r="F190">
        <v>-3.420216403</v>
      </c>
      <c r="G190" t="s">
        <v>266</v>
      </c>
      <c r="H190" t="s">
        <v>11</v>
      </c>
      <c r="I190">
        <f t="shared" ca="1" si="8"/>
        <v>-2.4228931016909727</v>
      </c>
      <c r="J190">
        <f t="shared" ca="1" si="9"/>
        <v>3.7766513890936473E-3</v>
      </c>
      <c r="K190">
        <f t="shared" ca="1" si="10"/>
        <v>0.99465376733393673</v>
      </c>
      <c r="L190">
        <f t="shared" si="11"/>
        <v>2.6094318578847187</v>
      </c>
      <c r="M190">
        <v>2.2567085658263988</v>
      </c>
    </row>
    <row r="191" spans="1:13" x14ac:dyDescent="0.3">
      <c r="A191">
        <v>539</v>
      </c>
      <c r="B191" t="s">
        <v>267</v>
      </c>
      <c r="C191" t="s">
        <v>268</v>
      </c>
      <c r="D191">
        <v>298.14999999999998</v>
      </c>
      <c r="E191" s="1">
        <v>1.4E-2</v>
      </c>
      <c r="F191">
        <v>-1.8538719640000001</v>
      </c>
      <c r="G191" t="s">
        <v>72</v>
      </c>
      <c r="H191" t="s">
        <v>66</v>
      </c>
      <c r="I191">
        <f t="shared" ca="1" si="8"/>
        <v>-1.6442777798556127</v>
      </c>
      <c r="J191">
        <f t="shared" ca="1" si="9"/>
        <v>2.2684134838485564E-2</v>
      </c>
      <c r="K191">
        <f t="shared" ca="1" si="10"/>
        <v>4.3929722027151355E-2</v>
      </c>
      <c r="L191">
        <f t="shared" si="11"/>
        <v>10.123329660607697</v>
      </c>
      <c r="M191">
        <v>2.2567085658263988</v>
      </c>
    </row>
    <row r="192" spans="1:13" x14ac:dyDescent="0.3">
      <c r="A192">
        <v>561</v>
      </c>
      <c r="B192" t="s">
        <v>269</v>
      </c>
      <c r="C192" t="s">
        <v>270</v>
      </c>
      <c r="D192">
        <v>298.14999999999998</v>
      </c>
      <c r="E192" s="1">
        <v>1.9000000000000001E-4</v>
      </c>
      <c r="F192">
        <v>-3.721246399</v>
      </c>
      <c r="G192" t="s">
        <v>72</v>
      </c>
      <c r="H192" t="s">
        <v>66</v>
      </c>
      <c r="I192">
        <f t="shared" ca="1" si="8"/>
        <v>-3.1481967073490216</v>
      </c>
      <c r="J192">
        <f t="shared" ca="1" si="9"/>
        <v>7.1089145281113793E-4</v>
      </c>
      <c r="K192">
        <f t="shared" ca="1" si="10"/>
        <v>0.32838594910128144</v>
      </c>
      <c r="L192">
        <f t="shared" si="11"/>
        <v>1.7274991014896472</v>
      </c>
      <c r="M192">
        <v>2.2567085658263988</v>
      </c>
    </row>
    <row r="193" spans="1:13" x14ac:dyDescent="0.3">
      <c r="A193">
        <v>582</v>
      </c>
      <c r="B193" t="s">
        <v>271</v>
      </c>
      <c r="C193" t="s">
        <v>272</v>
      </c>
      <c r="D193">
        <v>298.14999999999998</v>
      </c>
      <c r="E193" s="1">
        <v>6.3000000000000003E-4</v>
      </c>
      <c r="F193">
        <v>-3.2006594509999999</v>
      </c>
      <c r="G193" t="s">
        <v>72</v>
      </c>
      <c r="H193" t="s">
        <v>66</v>
      </c>
      <c r="I193">
        <f t="shared" ca="1" si="8"/>
        <v>-2.4314114787548564</v>
      </c>
      <c r="J193">
        <f t="shared" ca="1" si="9"/>
        <v>3.7032968115480805E-3</v>
      </c>
      <c r="K193">
        <f t="shared" ca="1" si="10"/>
        <v>0.59174244280326505</v>
      </c>
      <c r="L193">
        <f t="shared" si="11"/>
        <v>3.3669701196534416</v>
      </c>
      <c r="M193">
        <v>2.2567085658263988</v>
      </c>
    </row>
    <row r="194" spans="1:13" x14ac:dyDescent="0.3">
      <c r="A194">
        <v>584</v>
      </c>
      <c r="B194" t="s">
        <v>273</v>
      </c>
      <c r="C194" t="s">
        <v>274</v>
      </c>
      <c r="D194">
        <v>298.14999999999998</v>
      </c>
      <c r="E194" s="1">
        <v>7.9600000000000001E-3</v>
      </c>
      <c r="F194">
        <v>-2.0990869320000001</v>
      </c>
      <c r="G194" t="s">
        <v>72</v>
      </c>
      <c r="H194" t="s">
        <v>66</v>
      </c>
      <c r="I194">
        <f t="shared" ca="1" si="8"/>
        <v>-1.6867078208649655</v>
      </c>
      <c r="J194">
        <f t="shared" ca="1" si="9"/>
        <v>2.0572741973609976E-2</v>
      </c>
      <c r="K194">
        <f t="shared" ca="1" si="10"/>
        <v>0.17005653130052117</v>
      </c>
      <c r="L194">
        <f t="shared" si="11"/>
        <v>8.6230502683734116</v>
      </c>
      <c r="M194">
        <v>2.2567085658263988</v>
      </c>
    </row>
    <row r="195" spans="1:13" x14ac:dyDescent="0.3">
      <c r="A195">
        <v>591</v>
      </c>
      <c r="B195" t="s">
        <v>275</v>
      </c>
      <c r="C195" t="s">
        <v>276</v>
      </c>
      <c r="D195">
        <v>298.14999999999998</v>
      </c>
      <c r="E195" s="1">
        <v>1E-3</v>
      </c>
      <c r="F195">
        <v>-3</v>
      </c>
      <c r="G195" t="s">
        <v>41</v>
      </c>
      <c r="H195" t="s">
        <v>11</v>
      </c>
      <c r="I195">
        <f t="shared" ref="I195:I258" ca="1" si="12">F195*SQRT(0.862321) + RAND()*SQRT(1-0.862321)*M195</f>
        <v>-2.2361561749110139</v>
      </c>
      <c r="J195">
        <f t="shared" ref="J195:J258" ca="1" si="13">POWER(10,I195)</f>
        <v>5.805556086861151E-3</v>
      </c>
      <c r="K195">
        <f t="shared" ref="K195:K258" ca="1" si="14">(F195-I195)^2</f>
        <v>0.58345738912657352</v>
      </c>
      <c r="L195">
        <f t="shared" ref="L195:L258" si="15">(F195+5.03559)^2</f>
        <v>4.1436266480999997</v>
      </c>
      <c r="M195">
        <v>2.2567085658263988</v>
      </c>
    </row>
    <row r="196" spans="1:13" x14ac:dyDescent="0.3">
      <c r="A196">
        <v>592</v>
      </c>
      <c r="B196" t="s">
        <v>277</v>
      </c>
      <c r="C196" t="s">
        <v>83</v>
      </c>
      <c r="D196">
        <v>298.14999999999998</v>
      </c>
      <c r="E196" s="1">
        <v>1.1000000000000001E-3</v>
      </c>
      <c r="F196">
        <v>-2.9586073150000001</v>
      </c>
      <c r="G196" t="s">
        <v>41</v>
      </c>
      <c r="H196" t="s">
        <v>11</v>
      </c>
      <c r="I196">
        <f t="shared" ca="1" si="12"/>
        <v>-2.6512858819416243</v>
      </c>
      <c r="J196">
        <f t="shared" ca="1" si="13"/>
        <v>2.2321024186489598E-3</v>
      </c>
      <c r="K196">
        <f t="shared" ca="1" si="14"/>
        <v>9.4446463217053744E-2</v>
      </c>
      <c r="L196">
        <f t="shared" si="15"/>
        <v>4.3138570737898085</v>
      </c>
      <c r="M196">
        <v>2.2567085658263988</v>
      </c>
    </row>
    <row r="197" spans="1:13" x14ac:dyDescent="0.3">
      <c r="A197">
        <v>593</v>
      </c>
      <c r="B197" t="s">
        <v>278</v>
      </c>
      <c r="C197" t="s">
        <v>83</v>
      </c>
      <c r="D197">
        <v>298.14999999999998</v>
      </c>
      <c r="E197" s="1">
        <v>8.8999999999999995E-4</v>
      </c>
      <c r="F197">
        <v>-3.0506099930000001</v>
      </c>
      <c r="G197" t="s">
        <v>41</v>
      </c>
      <c r="H197" t="s">
        <v>11</v>
      </c>
      <c r="I197">
        <f t="shared" ca="1" si="12"/>
        <v>-2.277903714872636</v>
      </c>
      <c r="J197">
        <f t="shared" ca="1" si="13"/>
        <v>5.273467637189398E-3</v>
      </c>
      <c r="K197">
        <f t="shared" ca="1" si="14"/>
        <v>0.59707499225744343</v>
      </c>
      <c r="L197">
        <f t="shared" si="15"/>
        <v>3.9401456281897196</v>
      </c>
      <c r="M197">
        <v>2.2567085658263988</v>
      </c>
    </row>
    <row r="198" spans="1:13" x14ac:dyDescent="0.3">
      <c r="A198">
        <v>594</v>
      </c>
      <c r="B198" t="s">
        <v>279</v>
      </c>
      <c r="C198" t="s">
        <v>83</v>
      </c>
      <c r="D198">
        <v>298.14999999999998</v>
      </c>
      <c r="E198" s="1">
        <v>7.2999999999999996E-4</v>
      </c>
      <c r="F198">
        <v>-3.1366771400000002</v>
      </c>
      <c r="G198" t="s">
        <v>41</v>
      </c>
      <c r="H198" t="s">
        <v>11</v>
      </c>
      <c r="I198">
        <f t="shared" ca="1" si="12"/>
        <v>-2.739017457891793</v>
      </c>
      <c r="J198">
        <f t="shared" ca="1" si="13"/>
        <v>1.8238223863205531E-3</v>
      </c>
      <c r="K198">
        <f t="shared" ca="1" si="14"/>
        <v>0.15813322277440042</v>
      </c>
      <c r="L198">
        <f t="shared" si="15"/>
        <v>3.6058700498733791</v>
      </c>
      <c r="M198">
        <v>2.2567085658263988</v>
      </c>
    </row>
    <row r="199" spans="1:13" x14ac:dyDescent="0.3">
      <c r="A199">
        <v>595</v>
      </c>
      <c r="B199" t="s">
        <v>280</v>
      </c>
      <c r="C199" t="s">
        <v>83</v>
      </c>
      <c r="D199">
        <v>298.14999999999998</v>
      </c>
      <c r="E199" s="1">
        <v>6.4000000000000005E-4</v>
      </c>
      <c r="F199">
        <v>-3.193820026</v>
      </c>
      <c r="G199" t="s">
        <v>41</v>
      </c>
      <c r="H199" t="s">
        <v>11</v>
      </c>
      <c r="I199">
        <f t="shared" ca="1" si="12"/>
        <v>-2.6747542483608688</v>
      </c>
      <c r="J199">
        <f t="shared" ca="1" si="13"/>
        <v>2.1146853257629572E-3</v>
      </c>
      <c r="K199">
        <f t="shared" ca="1" si="14"/>
        <v>0.269429281516116</v>
      </c>
      <c r="L199">
        <f t="shared" si="15"/>
        <v>3.3921166371279607</v>
      </c>
      <c r="M199">
        <v>2.2567085658263988</v>
      </c>
    </row>
    <row r="200" spans="1:13" x14ac:dyDescent="0.3">
      <c r="A200">
        <v>596</v>
      </c>
      <c r="B200" t="s">
        <v>281</v>
      </c>
      <c r="C200" t="s">
        <v>83</v>
      </c>
      <c r="D200">
        <v>298.14999999999998</v>
      </c>
      <c r="E200" s="1">
        <v>3.6000000000000002E-4</v>
      </c>
      <c r="F200">
        <v>-3.4436974990000002</v>
      </c>
      <c r="G200" t="s">
        <v>41</v>
      </c>
      <c r="H200" t="s">
        <v>11</v>
      </c>
      <c r="I200">
        <f t="shared" ca="1" si="12"/>
        <v>-2.8523462519745095</v>
      </c>
      <c r="J200">
        <f t="shared" ca="1" si="13"/>
        <v>1.4049269648595231E-3</v>
      </c>
      <c r="K200">
        <f t="shared" ca="1" si="14"/>
        <v>0.34969629735860291</v>
      </c>
      <c r="L200">
        <f t="shared" si="15"/>
        <v>2.5341217347400344</v>
      </c>
      <c r="M200">
        <v>2.2567085658263988</v>
      </c>
    </row>
    <row r="201" spans="1:13" x14ac:dyDescent="0.3">
      <c r="A201">
        <v>597</v>
      </c>
      <c r="B201" t="s">
        <v>282</v>
      </c>
      <c r="C201" t="s">
        <v>83</v>
      </c>
      <c r="D201">
        <v>298.14999999999998</v>
      </c>
      <c r="E201" s="1">
        <v>2.1000000000000001E-4</v>
      </c>
      <c r="F201">
        <v>-3.677780705</v>
      </c>
      <c r="G201" t="s">
        <v>41</v>
      </c>
      <c r="H201" t="s">
        <v>11</v>
      </c>
      <c r="I201">
        <f t="shared" ca="1" si="12"/>
        <v>-3.0592555608891217</v>
      </c>
      <c r="J201">
        <f t="shared" ca="1" si="13"/>
        <v>8.7245781889494901E-4</v>
      </c>
      <c r="K201">
        <f t="shared" ca="1" si="14"/>
        <v>0.38257335389738278</v>
      </c>
      <c r="L201">
        <f t="shared" si="15"/>
        <v>1.843646081588397</v>
      </c>
      <c r="M201">
        <v>2.2567085658263988</v>
      </c>
    </row>
    <row r="202" spans="1:13" x14ac:dyDescent="0.3">
      <c r="A202">
        <v>598</v>
      </c>
      <c r="B202" t="s">
        <v>283</v>
      </c>
      <c r="C202" t="s">
        <v>83</v>
      </c>
      <c r="D202">
        <v>298.14999999999998</v>
      </c>
      <c r="E202" s="1">
        <v>1.9000000000000001E-4</v>
      </c>
      <c r="F202">
        <v>-3.721246399</v>
      </c>
      <c r="G202" t="s">
        <v>41</v>
      </c>
      <c r="H202" t="s">
        <v>11</v>
      </c>
      <c r="I202">
        <f t="shared" ca="1" si="12"/>
        <v>-3.3077747346195538</v>
      </c>
      <c r="J202">
        <f t="shared" ca="1" si="13"/>
        <v>4.9229481920128222E-4</v>
      </c>
      <c r="K202">
        <f t="shared" ca="1" si="14"/>
        <v>0.1709588172455363</v>
      </c>
      <c r="L202">
        <f t="shared" si="15"/>
        <v>1.7274991014896472</v>
      </c>
      <c r="M202">
        <v>2.2567085658263988</v>
      </c>
    </row>
    <row r="203" spans="1:13" x14ac:dyDescent="0.3">
      <c r="A203">
        <v>604</v>
      </c>
      <c r="B203" t="s">
        <v>290</v>
      </c>
      <c r="C203" t="s">
        <v>291</v>
      </c>
      <c r="D203">
        <v>298.14999999999998</v>
      </c>
      <c r="E203" s="1">
        <v>1E-3</v>
      </c>
      <c r="F203">
        <v>-3</v>
      </c>
      <c r="G203" t="s">
        <v>41</v>
      </c>
      <c r="H203" t="s">
        <v>11</v>
      </c>
      <c r="I203">
        <f t="shared" ca="1" si="12"/>
        <v>-2.7612129421610327</v>
      </c>
      <c r="J203">
        <f t="shared" ca="1" si="13"/>
        <v>1.7329540917855651E-3</v>
      </c>
      <c r="K203">
        <f t="shared" ca="1" si="14"/>
        <v>5.7019258991390293E-2</v>
      </c>
      <c r="L203">
        <f t="shared" si="15"/>
        <v>4.1436266480999997</v>
      </c>
      <c r="M203">
        <v>2.2567085658263988</v>
      </c>
    </row>
    <row r="204" spans="1:13" x14ac:dyDescent="0.3">
      <c r="A204">
        <v>605</v>
      </c>
      <c r="B204" t="s">
        <v>292</v>
      </c>
      <c r="C204" t="s">
        <v>293</v>
      </c>
      <c r="D204">
        <v>298.14999999999998</v>
      </c>
      <c r="E204" s="1">
        <v>1.5E-3</v>
      </c>
      <c r="F204">
        <v>-2.8239087409999999</v>
      </c>
      <c r="G204" t="s">
        <v>41</v>
      </c>
      <c r="H204" t="s">
        <v>11</v>
      </c>
      <c r="I204">
        <f t="shared" ca="1" si="12"/>
        <v>-2.3876800576134558</v>
      </c>
      <c r="J204">
        <f t="shared" ca="1" si="13"/>
        <v>4.0956227091971855E-3</v>
      </c>
      <c r="K204">
        <f t="shared" ca="1" si="14"/>
        <v>0.19029546420915772</v>
      </c>
      <c r="L204">
        <f t="shared" si="15"/>
        <v>4.8915339914118254</v>
      </c>
      <c r="M204">
        <v>2.2567085658263988</v>
      </c>
    </row>
    <row r="205" spans="1:13" x14ac:dyDescent="0.3">
      <c r="A205">
        <v>610</v>
      </c>
      <c r="B205" t="s">
        <v>294</v>
      </c>
      <c r="C205" t="s">
        <v>293</v>
      </c>
      <c r="D205">
        <v>298.14999999999998</v>
      </c>
      <c r="E205" s="1">
        <v>9.9999999999999995E-7</v>
      </c>
      <c r="F205">
        <v>-6</v>
      </c>
      <c r="G205" t="s">
        <v>41</v>
      </c>
      <c r="H205" t="s">
        <v>11</v>
      </c>
      <c r="I205">
        <f t="shared" ca="1" si="12"/>
        <v>-4.7637614486228426</v>
      </c>
      <c r="J205">
        <f t="shared" ca="1" si="13"/>
        <v>1.7228146311026068E-5</v>
      </c>
      <c r="K205">
        <f t="shared" ca="1" si="14"/>
        <v>1.5282857559110927</v>
      </c>
      <c r="L205">
        <f t="shared" si="15"/>
        <v>0.93008664809999997</v>
      </c>
      <c r="M205">
        <v>2.2567085658263988</v>
      </c>
    </row>
    <row r="206" spans="1:13" x14ac:dyDescent="0.3">
      <c r="A206">
        <v>611</v>
      </c>
      <c r="B206" t="s">
        <v>295</v>
      </c>
      <c r="C206" t="s">
        <v>293</v>
      </c>
      <c r="D206">
        <v>298.14999999999998</v>
      </c>
      <c r="E206" s="1">
        <v>8.0000000000000002E-8</v>
      </c>
      <c r="F206">
        <v>-7.0969100129999996</v>
      </c>
      <c r="G206" t="s">
        <v>41</v>
      </c>
      <c r="H206" t="s">
        <v>11</v>
      </c>
      <c r="I206">
        <f t="shared" ca="1" si="12"/>
        <v>-6.4743413563705845</v>
      </c>
      <c r="J206">
        <f t="shared" ca="1" si="13"/>
        <v>3.354738274584274E-7</v>
      </c>
      <c r="K206">
        <f t="shared" ca="1" si="14"/>
        <v>0.38759173221735455</v>
      </c>
      <c r="L206">
        <f t="shared" si="15"/>
        <v>4.2490401959943185</v>
      </c>
      <c r="M206">
        <v>2.2567085658263988</v>
      </c>
    </row>
    <row r="207" spans="1:13" x14ac:dyDescent="0.3">
      <c r="A207">
        <v>612</v>
      </c>
      <c r="B207" t="s">
        <v>296</v>
      </c>
      <c r="C207" t="s">
        <v>297</v>
      </c>
      <c r="D207">
        <v>298.14999999999998</v>
      </c>
      <c r="E207" s="1">
        <v>1E-3</v>
      </c>
      <c r="F207">
        <v>-3</v>
      </c>
      <c r="G207" t="s">
        <v>41</v>
      </c>
      <c r="H207" t="s">
        <v>11</v>
      </c>
      <c r="I207">
        <f t="shared" ca="1" si="12"/>
        <v>-2.5033632009087201</v>
      </c>
      <c r="J207">
        <f t="shared" ca="1" si="13"/>
        <v>3.1378833812495291E-3</v>
      </c>
      <c r="K207">
        <f t="shared" ca="1" si="14"/>
        <v>0.2466481102116323</v>
      </c>
      <c r="L207">
        <f t="shared" si="15"/>
        <v>4.1436266480999997</v>
      </c>
      <c r="M207">
        <v>2.2567085658263988</v>
      </c>
    </row>
    <row r="208" spans="1:13" x14ac:dyDescent="0.3">
      <c r="A208">
        <v>613</v>
      </c>
      <c r="B208" t="s">
        <v>298</v>
      </c>
      <c r="C208" t="s">
        <v>299</v>
      </c>
      <c r="D208">
        <v>298.14999999999998</v>
      </c>
      <c r="E208" s="1">
        <v>1.5299999999999999E-3</v>
      </c>
      <c r="F208">
        <v>-2.8153085689999999</v>
      </c>
      <c r="G208" t="s">
        <v>41</v>
      </c>
      <c r="H208" t="s">
        <v>11</v>
      </c>
      <c r="I208">
        <f t="shared" ca="1" si="12"/>
        <v>-2.5503366235942106</v>
      </c>
      <c r="J208">
        <f t="shared" ca="1" si="13"/>
        <v>2.8161992364614452E-3</v>
      </c>
      <c r="K208">
        <f t="shared" ca="1" si="14"/>
        <v>7.0210131852128571E-2</v>
      </c>
      <c r="L208">
        <f t="shared" si="15"/>
        <v>4.9296496328434083</v>
      </c>
      <c r="M208">
        <v>2.2567085658263988</v>
      </c>
    </row>
    <row r="209" spans="1:13" x14ac:dyDescent="0.3">
      <c r="A209">
        <v>614</v>
      </c>
      <c r="B209" t="s">
        <v>298</v>
      </c>
      <c r="C209" t="s">
        <v>299</v>
      </c>
      <c r="D209">
        <v>298.14999999999998</v>
      </c>
      <c r="E209" s="1">
        <v>6.8800000000000003E-4</v>
      </c>
      <c r="F209">
        <v>-3.162411562</v>
      </c>
      <c r="G209" t="s">
        <v>41</v>
      </c>
      <c r="H209" t="s">
        <v>11</v>
      </c>
      <c r="I209">
        <f t="shared" ca="1" si="12"/>
        <v>-2.106221499917365</v>
      </c>
      <c r="J209">
        <f t="shared" ca="1" si="13"/>
        <v>7.8303017797010498E-3</v>
      </c>
      <c r="K209">
        <f t="shared" ca="1" si="14"/>
        <v>1.1155374472421205</v>
      </c>
      <c r="L209">
        <f t="shared" si="15"/>
        <v>3.50879746058812</v>
      </c>
      <c r="M209">
        <v>2.2567085658263988</v>
      </c>
    </row>
    <row r="210" spans="1:13" x14ac:dyDescent="0.3">
      <c r="A210">
        <v>615</v>
      </c>
      <c r="B210" t="s">
        <v>300</v>
      </c>
      <c r="C210" t="s">
        <v>301</v>
      </c>
      <c r="D210">
        <v>298.14999999999998</v>
      </c>
      <c r="E210" s="1">
        <v>1.9099999999999999E-6</v>
      </c>
      <c r="F210">
        <v>-5.718966633</v>
      </c>
      <c r="G210" t="s">
        <v>41</v>
      </c>
      <c r="H210" t="s">
        <v>11</v>
      </c>
      <c r="I210">
        <f t="shared" ca="1" si="12"/>
        <v>-4.9305365207416685</v>
      </c>
      <c r="J210">
        <f t="shared" ca="1" si="13"/>
        <v>1.1734470007016245E-5</v>
      </c>
      <c r="K210">
        <f t="shared" ca="1" si="14"/>
        <v>0.62162204191568515</v>
      </c>
      <c r="L210">
        <f t="shared" si="15"/>
        <v>0.46700362253041661</v>
      </c>
      <c r="M210">
        <v>2.2567085658263988</v>
      </c>
    </row>
    <row r="211" spans="1:13" x14ac:dyDescent="0.3">
      <c r="A211">
        <v>617</v>
      </c>
      <c r="B211" t="s">
        <v>302</v>
      </c>
      <c r="C211" t="s">
        <v>301</v>
      </c>
      <c r="D211">
        <v>298.14999999999998</v>
      </c>
      <c r="E211" s="1">
        <v>3.6600000000000001E-4</v>
      </c>
      <c r="F211">
        <v>-3.4365189150000002</v>
      </c>
      <c r="G211" t="s">
        <v>41</v>
      </c>
      <c r="H211" t="s">
        <v>11</v>
      </c>
      <c r="I211">
        <f t="shared" ca="1" si="12"/>
        <v>-2.4576425818878995</v>
      </c>
      <c r="J211">
        <f t="shared" ca="1" si="13"/>
        <v>3.4862410963383901E-3</v>
      </c>
      <c r="K211">
        <f t="shared" ca="1" si="14"/>
        <v>0.95819887552699223</v>
      </c>
      <c r="L211">
        <f t="shared" si="15"/>
        <v>2.5570283348830767</v>
      </c>
      <c r="M211">
        <v>2.2567085658263988</v>
      </c>
    </row>
    <row r="212" spans="1:13" x14ac:dyDescent="0.3">
      <c r="A212">
        <v>619</v>
      </c>
      <c r="B212" t="s">
        <v>303</v>
      </c>
      <c r="C212" t="s">
        <v>304</v>
      </c>
      <c r="D212">
        <v>298.14999999999998</v>
      </c>
      <c r="E212" s="1">
        <v>6.3100000000000002E-5</v>
      </c>
      <c r="F212">
        <v>-4.2000394730000004</v>
      </c>
      <c r="G212" t="s">
        <v>41</v>
      </c>
      <c r="H212" t="s">
        <v>11</v>
      </c>
      <c r="I212">
        <f t="shared" ca="1" si="12"/>
        <v>-3.3179564710587748</v>
      </c>
      <c r="J212">
        <f t="shared" ca="1" si="13"/>
        <v>4.8088754495593193E-4</v>
      </c>
      <c r="K212">
        <f t="shared" ca="1" si="14"/>
        <v>0.77807042231364421</v>
      </c>
      <c r="L212">
        <f t="shared" si="15"/>
        <v>0.69814468316997713</v>
      </c>
      <c r="M212">
        <v>2.2567085658263988</v>
      </c>
    </row>
    <row r="213" spans="1:13" x14ac:dyDescent="0.3">
      <c r="A213">
        <v>620</v>
      </c>
      <c r="B213" t="s">
        <v>305</v>
      </c>
      <c r="C213" t="s">
        <v>304</v>
      </c>
      <c r="D213">
        <v>298.14999999999998</v>
      </c>
      <c r="E213" s="1">
        <v>1.26E-4</v>
      </c>
      <c r="F213">
        <v>-3.900008766</v>
      </c>
      <c r="G213" t="s">
        <v>41</v>
      </c>
      <c r="H213" t="s">
        <v>11</v>
      </c>
      <c r="I213">
        <f t="shared" ca="1" si="12"/>
        <v>-3.0028733502193572</v>
      </c>
      <c r="J213">
        <f t="shared" ca="1" si="13"/>
        <v>9.9340570503990747E-4</v>
      </c>
      <c r="K213">
        <f t="shared" ca="1" si="14"/>
        <v>0.8048519542479069</v>
      </c>
      <c r="L213">
        <f t="shared" si="15"/>
        <v>1.2895447390129628</v>
      </c>
      <c r="M213">
        <v>2.2567085658263988</v>
      </c>
    </row>
    <row r="214" spans="1:13" x14ac:dyDescent="0.3">
      <c r="A214">
        <v>632</v>
      </c>
      <c r="B214" t="s">
        <v>306</v>
      </c>
      <c r="C214" t="s">
        <v>307</v>
      </c>
      <c r="D214">
        <v>298.14999999999998</v>
      </c>
      <c r="E214" s="1">
        <v>4.2500000000000003E-5</v>
      </c>
      <c r="F214">
        <v>-4.3716110700000002</v>
      </c>
      <c r="G214" t="s">
        <v>308</v>
      </c>
      <c r="H214" t="s">
        <v>11</v>
      </c>
      <c r="I214">
        <f t="shared" ca="1" si="12"/>
        <v>-3.524523317268113</v>
      </c>
      <c r="J214">
        <f t="shared" ca="1" si="13"/>
        <v>2.9886611814509165E-4</v>
      </c>
      <c r="K214">
        <f t="shared" ca="1" si="14"/>
        <v>0.71755766082835881</v>
      </c>
      <c r="L214">
        <f t="shared" si="15"/>
        <v>0.44086801948394472</v>
      </c>
      <c r="M214">
        <v>2.2567085658263988</v>
      </c>
    </row>
    <row r="215" spans="1:13" x14ac:dyDescent="0.3">
      <c r="A215">
        <v>633</v>
      </c>
      <c r="B215" t="s">
        <v>309</v>
      </c>
      <c r="C215" t="s">
        <v>307</v>
      </c>
      <c r="D215">
        <v>298.14999999999998</v>
      </c>
      <c r="E215" s="1">
        <v>3.8500000000000001E-5</v>
      </c>
      <c r="F215">
        <v>-4.4145392699999997</v>
      </c>
      <c r="G215" t="s">
        <v>308</v>
      </c>
      <c r="H215" t="s">
        <v>11</v>
      </c>
      <c r="I215">
        <f t="shared" ca="1" si="12"/>
        <v>-3.323086491534053</v>
      </c>
      <c r="J215">
        <f t="shared" ca="1" si="13"/>
        <v>4.7524057040144573E-4</v>
      </c>
      <c r="K215">
        <f t="shared" ca="1" si="14"/>
        <v>1.191269167621035</v>
      </c>
      <c r="L215">
        <f t="shared" si="15"/>
        <v>0.38570400923353332</v>
      </c>
      <c r="M215">
        <v>2.2567085658263988</v>
      </c>
    </row>
    <row r="216" spans="1:13" x14ac:dyDescent="0.3">
      <c r="A216">
        <v>634</v>
      </c>
      <c r="B216" t="s">
        <v>310</v>
      </c>
      <c r="C216" t="s">
        <v>307</v>
      </c>
      <c r="D216">
        <v>298.14999999999998</v>
      </c>
      <c r="E216" s="1">
        <v>3.82E-5</v>
      </c>
      <c r="F216">
        <v>-4.4179366370000004</v>
      </c>
      <c r="G216" t="s">
        <v>308</v>
      </c>
      <c r="H216" t="s">
        <v>11</v>
      </c>
      <c r="I216">
        <f t="shared" ca="1" si="12"/>
        <v>-3.8705298000095305</v>
      </c>
      <c r="J216">
        <f t="shared" ca="1" si="13"/>
        <v>1.347318273156831E-4</v>
      </c>
      <c r="K216">
        <f t="shared" ca="1" si="14"/>
        <v>0.29965424518391087</v>
      </c>
      <c r="L216">
        <f t="shared" si="15"/>
        <v>0.3814956768252093</v>
      </c>
      <c r="M216">
        <v>2.2567085658263988</v>
      </c>
    </row>
    <row r="217" spans="1:13" x14ac:dyDescent="0.3">
      <c r="A217">
        <v>635</v>
      </c>
      <c r="B217" t="s">
        <v>311</v>
      </c>
      <c r="C217" t="s">
        <v>307</v>
      </c>
      <c r="D217">
        <v>298.14999999999998</v>
      </c>
      <c r="E217" s="1">
        <v>3.5200000000000002E-5</v>
      </c>
      <c r="F217">
        <v>-4.4534573369999997</v>
      </c>
      <c r="G217" t="s">
        <v>308</v>
      </c>
      <c r="H217" t="s">
        <v>11</v>
      </c>
      <c r="I217">
        <f t="shared" ca="1" si="12"/>
        <v>-3.8279518711722913</v>
      </c>
      <c r="J217">
        <f t="shared" ca="1" si="13"/>
        <v>1.4861003238714757E-4</v>
      </c>
      <c r="K217">
        <f t="shared" ca="1" si="14"/>
        <v>0.39125708778033846</v>
      </c>
      <c r="L217">
        <f t="shared" si="15"/>
        <v>0.33887843733147194</v>
      </c>
      <c r="M217">
        <v>2.2567085658263988</v>
      </c>
    </row>
    <row r="218" spans="1:13" x14ac:dyDescent="0.3">
      <c r="A218">
        <v>636</v>
      </c>
      <c r="B218" t="s">
        <v>312</v>
      </c>
      <c r="C218" t="s">
        <v>307</v>
      </c>
      <c r="D218">
        <v>298.14999999999998</v>
      </c>
      <c r="E218" s="1">
        <v>2.3300000000000001E-5</v>
      </c>
      <c r="F218">
        <v>-4.6326440790000003</v>
      </c>
      <c r="G218" t="s">
        <v>308</v>
      </c>
      <c r="H218" t="s">
        <v>11</v>
      </c>
      <c r="I218">
        <f t="shared" ca="1" si="12"/>
        <v>-3.7054052444793988</v>
      </c>
      <c r="J218">
        <f t="shared" ca="1" si="13"/>
        <v>1.9705831073595393E-4</v>
      </c>
      <c r="K218">
        <f t="shared" ca="1" si="14"/>
        <v>0.85977185624312347</v>
      </c>
      <c r="L218">
        <f t="shared" si="15"/>
        <v>0.16236541525053799</v>
      </c>
      <c r="M218">
        <v>2.2567085658263988</v>
      </c>
    </row>
    <row r="219" spans="1:13" x14ac:dyDescent="0.3">
      <c r="A219">
        <v>637</v>
      </c>
      <c r="B219" t="s">
        <v>313</v>
      </c>
      <c r="C219" t="s">
        <v>314</v>
      </c>
      <c r="D219">
        <v>298.14999999999998</v>
      </c>
      <c r="E219" s="1">
        <v>1E-8</v>
      </c>
      <c r="F219">
        <v>-8</v>
      </c>
      <c r="G219" t="s">
        <v>41</v>
      </c>
      <c r="H219" t="s">
        <v>11</v>
      </c>
      <c r="I219">
        <f t="shared" ca="1" si="12"/>
        <v>-7.0978744458744512</v>
      </c>
      <c r="J219">
        <f t="shared" ca="1" si="13"/>
        <v>7.9822542013095506E-8</v>
      </c>
      <c r="K219">
        <f t="shared" ca="1" si="14"/>
        <v>0.81383051540632856</v>
      </c>
      <c r="L219">
        <f t="shared" si="15"/>
        <v>8.7877266480999996</v>
      </c>
      <c r="M219">
        <v>2.2567085658263988</v>
      </c>
    </row>
    <row r="220" spans="1:13" x14ac:dyDescent="0.3">
      <c r="A220">
        <v>638</v>
      </c>
      <c r="B220" t="s">
        <v>315</v>
      </c>
      <c r="C220" t="s">
        <v>314</v>
      </c>
      <c r="D220">
        <v>298.14999999999998</v>
      </c>
      <c r="E220" s="1">
        <v>9.9999999999999995E-8</v>
      </c>
      <c r="F220">
        <v>-7</v>
      </c>
      <c r="G220" t="s">
        <v>41</v>
      </c>
      <c r="H220" t="s">
        <v>11</v>
      </c>
      <c r="I220">
        <f t="shared" ca="1" si="12"/>
        <v>-5.708142967230188</v>
      </c>
      <c r="J220">
        <f t="shared" ca="1" si="13"/>
        <v>1.9581999393024759E-6</v>
      </c>
      <c r="K220">
        <f t="shared" ca="1" si="14"/>
        <v>1.6688945931168231</v>
      </c>
      <c r="L220">
        <f t="shared" si="15"/>
        <v>3.8589066481000001</v>
      </c>
      <c r="M220">
        <v>2.2567085658263988</v>
      </c>
    </row>
    <row r="221" spans="1:13" x14ac:dyDescent="0.3">
      <c r="A221">
        <v>639</v>
      </c>
      <c r="B221" t="s">
        <v>316</v>
      </c>
      <c r="C221" t="s">
        <v>314</v>
      </c>
      <c r="D221">
        <v>298.14999999999998</v>
      </c>
      <c r="E221" s="1">
        <v>2.8E-5</v>
      </c>
      <c r="F221">
        <v>-4.5528419690000002</v>
      </c>
      <c r="G221" t="s">
        <v>41</v>
      </c>
      <c r="H221" t="s">
        <v>11</v>
      </c>
      <c r="I221">
        <f t="shared" ca="1" si="12"/>
        <v>-3.7556872274523174</v>
      </c>
      <c r="J221">
        <f t="shared" ca="1" si="13"/>
        <v>1.7551440759318841E-4</v>
      </c>
      <c r="K221">
        <f t="shared" ca="1" si="14"/>
        <v>0.6354556819719529</v>
      </c>
      <c r="L221">
        <f t="shared" si="15"/>
        <v>0.23304566143437683</v>
      </c>
      <c r="M221">
        <v>2.2567085658263988</v>
      </c>
    </row>
    <row r="222" spans="1:13" x14ac:dyDescent="0.3">
      <c r="A222">
        <v>640</v>
      </c>
      <c r="B222" t="s">
        <v>317</v>
      </c>
      <c r="C222" t="s">
        <v>314</v>
      </c>
      <c r="D222">
        <v>298.14999999999998</v>
      </c>
      <c r="E222" s="1">
        <v>3.6000000000000001E-5</v>
      </c>
      <c r="F222">
        <v>-4.4436974989999998</v>
      </c>
      <c r="G222" t="s">
        <v>41</v>
      </c>
      <c r="H222" t="s">
        <v>11</v>
      </c>
      <c r="I222">
        <f t="shared" ca="1" si="12"/>
        <v>-3.6218894143165166</v>
      </c>
      <c r="J222">
        <f t="shared" ca="1" si="13"/>
        <v>2.3884193757522725E-4</v>
      </c>
      <c r="K222">
        <f t="shared" ca="1" si="14"/>
        <v>0.67536852805113512</v>
      </c>
      <c r="L222">
        <f t="shared" si="15"/>
        <v>0.35033673274003529</v>
      </c>
      <c r="M222">
        <v>2.2567085658263988</v>
      </c>
    </row>
    <row r="223" spans="1:13" x14ac:dyDescent="0.3">
      <c r="A223">
        <v>644</v>
      </c>
      <c r="B223" t="s">
        <v>318</v>
      </c>
      <c r="C223" t="s">
        <v>319</v>
      </c>
      <c r="D223">
        <v>298.14999999999998</v>
      </c>
      <c r="E223" s="1">
        <v>7.64E-5</v>
      </c>
      <c r="F223">
        <v>-4.1169066409999999</v>
      </c>
      <c r="G223" t="s">
        <v>41</v>
      </c>
      <c r="H223" t="s">
        <v>11</v>
      </c>
      <c r="I223">
        <f t="shared" ca="1" si="12"/>
        <v>-3.4969591205183241</v>
      </c>
      <c r="J223">
        <f t="shared" ca="1" si="13"/>
        <v>3.1844972595218622E-4</v>
      </c>
      <c r="K223">
        <f t="shared" ca="1" si="14"/>
        <v>0.38433492815137782</v>
      </c>
      <c r="L223">
        <f t="shared" si="15"/>
        <v>0.843979114103523</v>
      </c>
      <c r="M223">
        <v>2.2567085658263988</v>
      </c>
    </row>
    <row r="224" spans="1:13" x14ac:dyDescent="0.3">
      <c r="A224">
        <v>645</v>
      </c>
      <c r="B224" t="s">
        <v>320</v>
      </c>
      <c r="C224" t="s">
        <v>319</v>
      </c>
      <c r="D224">
        <v>298.14999999999998</v>
      </c>
      <c r="E224" s="1">
        <v>5.3000000000000001E-5</v>
      </c>
      <c r="F224">
        <v>-4.2757241300000004</v>
      </c>
      <c r="G224" t="s">
        <v>41</v>
      </c>
      <c r="H224" t="s">
        <v>11</v>
      </c>
      <c r="I224">
        <f t="shared" ca="1" si="12"/>
        <v>-3.6760498632083718</v>
      </c>
      <c r="J224">
        <f t="shared" ca="1" si="13"/>
        <v>2.1083860632076343E-4</v>
      </c>
      <c r="K224">
        <f t="shared" ca="1" si="14"/>
        <v>0.35960922625207736</v>
      </c>
      <c r="L224">
        <f t="shared" si="15"/>
        <v>0.57739614039085629</v>
      </c>
      <c r="M224">
        <v>2.2567085658263988</v>
      </c>
    </row>
    <row r="225" spans="1:13" x14ac:dyDescent="0.3">
      <c r="A225">
        <v>647</v>
      </c>
      <c r="B225" t="s">
        <v>321</v>
      </c>
      <c r="C225" t="s">
        <v>322</v>
      </c>
      <c r="D225">
        <v>298.14999999999998</v>
      </c>
      <c r="E225" s="1">
        <v>5.5000000000000003E-4</v>
      </c>
      <c r="F225">
        <v>-3.2596373110000001</v>
      </c>
      <c r="G225" t="s">
        <v>41</v>
      </c>
      <c r="H225" t="s">
        <v>11</v>
      </c>
      <c r="I225">
        <f t="shared" ca="1" si="12"/>
        <v>-2.4049715787352861</v>
      </c>
      <c r="J225">
        <f t="shared" ca="1" si="13"/>
        <v>3.9357583115229109E-3</v>
      </c>
      <c r="K225">
        <f t="shared" ca="1" si="14"/>
        <v>0.73045351390757973</v>
      </c>
      <c r="L225">
        <f t="shared" si="15"/>
        <v>3.1540079535663303</v>
      </c>
      <c r="M225">
        <v>2.2567085658263988</v>
      </c>
    </row>
    <row r="226" spans="1:13" x14ac:dyDescent="0.3">
      <c r="A226">
        <v>648</v>
      </c>
      <c r="B226" t="s">
        <v>323</v>
      </c>
      <c r="C226" t="s">
        <v>322</v>
      </c>
      <c r="D226">
        <v>298.14999999999998</v>
      </c>
      <c r="E226" s="1">
        <v>4.8999999999999998E-5</v>
      </c>
      <c r="F226">
        <v>-4.3098039200000002</v>
      </c>
      <c r="G226" t="s">
        <v>41</v>
      </c>
      <c r="H226" t="s">
        <v>11</v>
      </c>
      <c r="I226">
        <f t="shared" ca="1" si="12"/>
        <v>-3.5262762735983997</v>
      </c>
      <c r="J226">
        <f t="shared" ca="1" si="13"/>
        <v>2.9766222681975387E-4</v>
      </c>
      <c r="K226">
        <f t="shared" ca="1" si="14"/>
        <v>0.61391557267563157</v>
      </c>
      <c r="L226">
        <f t="shared" si="15"/>
        <v>0.52676543392176611</v>
      </c>
      <c r="M226">
        <v>2.2567085658263988</v>
      </c>
    </row>
    <row r="227" spans="1:13" x14ac:dyDescent="0.3">
      <c r="A227">
        <v>649</v>
      </c>
      <c r="B227" t="s">
        <v>324</v>
      </c>
      <c r="C227" t="s">
        <v>322</v>
      </c>
      <c r="D227">
        <v>298.14999999999998</v>
      </c>
      <c r="E227" s="1">
        <v>2.0000000000000002E-5</v>
      </c>
      <c r="F227">
        <v>-4.6989700040000004</v>
      </c>
      <c r="G227" t="s">
        <v>41</v>
      </c>
      <c r="H227" t="s">
        <v>11</v>
      </c>
      <c r="I227">
        <f t="shared" ca="1" si="12"/>
        <v>-4.1707226044290584</v>
      </c>
      <c r="J227">
        <f t="shared" ca="1" si="13"/>
        <v>6.7495900452200382E-5</v>
      </c>
      <c r="K227">
        <f t="shared" ca="1" si="14"/>
        <v>0.27904531515346248</v>
      </c>
      <c r="L227">
        <f t="shared" si="15"/>
        <v>0.11331302170703973</v>
      </c>
      <c r="M227">
        <v>2.2567085658263988</v>
      </c>
    </row>
    <row r="228" spans="1:13" x14ac:dyDescent="0.3">
      <c r="A228">
        <v>650</v>
      </c>
      <c r="B228" t="s">
        <v>325</v>
      </c>
      <c r="C228" t="s">
        <v>322</v>
      </c>
      <c r="D228">
        <v>298.14999999999998</v>
      </c>
      <c r="E228" s="1">
        <v>1.2999999999999999E-5</v>
      </c>
      <c r="F228">
        <v>-4.8860566480000003</v>
      </c>
      <c r="G228" t="s">
        <v>41</v>
      </c>
      <c r="H228" t="s">
        <v>11</v>
      </c>
      <c r="I228">
        <f t="shared" ca="1" si="12"/>
        <v>-3.7830870722337862</v>
      </c>
      <c r="J228">
        <f t="shared" ca="1" si="13"/>
        <v>1.6478319825476186E-4</v>
      </c>
      <c r="K228">
        <f t="shared" ca="1" si="14"/>
        <v>1.2165418850659024</v>
      </c>
      <c r="L228">
        <f t="shared" si="15"/>
        <v>2.2360223360355824E-2</v>
      </c>
      <c r="M228">
        <v>2.2567085658263988</v>
      </c>
    </row>
    <row r="229" spans="1:13" x14ac:dyDescent="0.3">
      <c r="A229">
        <v>652</v>
      </c>
      <c r="B229" t="s">
        <v>326</v>
      </c>
      <c r="C229" t="s">
        <v>322</v>
      </c>
      <c r="D229">
        <v>298.14999999999998</v>
      </c>
      <c r="E229" s="1">
        <v>9.9999999999999995E-7</v>
      </c>
      <c r="F229">
        <v>-6</v>
      </c>
      <c r="G229" t="s">
        <v>41</v>
      </c>
      <c r="H229" t="s">
        <v>11</v>
      </c>
      <c r="I229">
        <f t="shared" ca="1" si="12"/>
        <v>-5.3778580191035248</v>
      </c>
      <c r="J229">
        <f t="shared" ca="1" si="13"/>
        <v>4.1893050078918833E-6</v>
      </c>
      <c r="K229">
        <f t="shared" ca="1" si="14"/>
        <v>0.38706064439379012</v>
      </c>
      <c r="L229">
        <f t="shared" si="15"/>
        <v>0.93008664809999997</v>
      </c>
      <c r="M229">
        <v>2.2567085658263988</v>
      </c>
    </row>
    <row r="230" spans="1:13" x14ac:dyDescent="0.3">
      <c r="A230">
        <v>653</v>
      </c>
      <c r="B230" t="s">
        <v>327</v>
      </c>
      <c r="C230" t="s">
        <v>322</v>
      </c>
      <c r="D230">
        <v>298.14999999999998</v>
      </c>
      <c r="E230" s="1">
        <v>9.9999999999999995E-7</v>
      </c>
      <c r="F230">
        <v>-6</v>
      </c>
      <c r="G230" t="s">
        <v>41</v>
      </c>
      <c r="H230" t="s">
        <v>11</v>
      </c>
      <c r="I230">
        <f t="shared" ca="1" si="12"/>
        <v>-4.8204871945993606</v>
      </c>
      <c r="J230">
        <f t="shared" ca="1" si="13"/>
        <v>1.5118642768149754E-5</v>
      </c>
      <c r="K230">
        <f t="shared" ca="1" si="14"/>
        <v>1.3912504581040865</v>
      </c>
      <c r="L230">
        <f t="shared" si="15"/>
        <v>0.93008664809999997</v>
      </c>
      <c r="M230">
        <v>2.2567085658263988</v>
      </c>
    </row>
    <row r="231" spans="1:13" x14ac:dyDescent="0.3">
      <c r="A231">
        <v>656</v>
      </c>
      <c r="B231" t="s">
        <v>328</v>
      </c>
      <c r="C231" t="s">
        <v>329</v>
      </c>
      <c r="D231">
        <v>298.14999999999998</v>
      </c>
      <c r="E231" s="1">
        <v>7.6600000000000005E-5</v>
      </c>
      <c r="F231">
        <v>-4.11577123</v>
      </c>
      <c r="G231" t="s">
        <v>41</v>
      </c>
      <c r="H231" t="s">
        <v>11</v>
      </c>
      <c r="I231">
        <f t="shared" ca="1" si="12"/>
        <v>-3.5995149026723983</v>
      </c>
      <c r="J231">
        <f t="shared" ca="1" si="13"/>
        <v>2.514693720626598E-4</v>
      </c>
      <c r="K231">
        <f t="shared" ca="1" si="14"/>
        <v>0.26652059550578389</v>
      </c>
      <c r="L231">
        <f t="shared" si="15"/>
        <v>0.84606656964431293</v>
      </c>
      <c r="M231">
        <v>2.2567085658263988</v>
      </c>
    </row>
    <row r="232" spans="1:13" x14ac:dyDescent="0.3">
      <c r="A232">
        <v>657</v>
      </c>
      <c r="B232" t="s">
        <v>330</v>
      </c>
      <c r="C232" t="s">
        <v>329</v>
      </c>
      <c r="D232">
        <v>298.14999999999998</v>
      </c>
      <c r="E232" s="1">
        <v>4.2799999999999997E-5</v>
      </c>
      <c r="F232">
        <v>-4.3685562310000003</v>
      </c>
      <c r="G232" t="s">
        <v>41</v>
      </c>
      <c r="H232" t="s">
        <v>11</v>
      </c>
      <c r="I232">
        <f t="shared" ca="1" si="12"/>
        <v>-3.6241832892686814</v>
      </c>
      <c r="J232">
        <f t="shared" ca="1" si="13"/>
        <v>2.3758373786477813E-4</v>
      </c>
      <c r="K232">
        <f t="shared" ca="1" si="14"/>
        <v>0.5540910763817376</v>
      </c>
      <c r="L232">
        <f t="shared" si="15"/>
        <v>0.44493404898634492</v>
      </c>
      <c r="M232">
        <v>2.2567085658263988</v>
      </c>
    </row>
    <row r="233" spans="1:13" x14ac:dyDescent="0.3">
      <c r="A233">
        <v>658</v>
      </c>
      <c r="B233" t="s">
        <v>331</v>
      </c>
      <c r="C233" t="s">
        <v>329</v>
      </c>
      <c r="D233">
        <v>298.14999999999998</v>
      </c>
      <c r="E233" s="1">
        <v>1.7200000000000001E-5</v>
      </c>
      <c r="F233">
        <v>-4.7644715529999999</v>
      </c>
      <c r="G233" t="s">
        <v>41</v>
      </c>
      <c r="H233" t="s">
        <v>11</v>
      </c>
      <c r="I233">
        <f t="shared" ca="1" si="12"/>
        <v>-3.6680470817488162</v>
      </c>
      <c r="J233">
        <f t="shared" ca="1" si="13"/>
        <v>2.1475976410232701E-4</v>
      </c>
      <c r="K233">
        <f t="shared" ca="1" si="14"/>
        <v>1.2021466211584377</v>
      </c>
      <c r="L233">
        <f t="shared" si="15"/>
        <v>7.3505212303691864E-2</v>
      </c>
      <c r="M233">
        <v>2.2567085658263988</v>
      </c>
    </row>
    <row r="234" spans="1:13" x14ac:dyDescent="0.3">
      <c r="A234">
        <v>659</v>
      </c>
      <c r="B234" t="s">
        <v>332</v>
      </c>
      <c r="C234" t="s">
        <v>329</v>
      </c>
      <c r="D234">
        <v>298.14999999999998</v>
      </c>
      <c r="E234" s="1">
        <v>9.6600000000000007E-6</v>
      </c>
      <c r="F234">
        <v>-5.0150228739999996</v>
      </c>
      <c r="G234" t="s">
        <v>41</v>
      </c>
      <c r="H234" t="s">
        <v>11</v>
      </c>
      <c r="I234">
        <f t="shared" ca="1" si="12"/>
        <v>-4.042753150987858</v>
      </c>
      <c r="J234">
        <f t="shared" ca="1" si="13"/>
        <v>9.0624755736055745E-5</v>
      </c>
      <c r="K234">
        <f t="shared" ca="1" si="14"/>
        <v>0.94530841428610646</v>
      </c>
      <c r="L234">
        <f t="shared" si="15"/>
        <v>4.2300667189989393E-4</v>
      </c>
      <c r="M234">
        <v>2.2567085658263988</v>
      </c>
    </row>
    <row r="235" spans="1:13" x14ac:dyDescent="0.3">
      <c r="A235">
        <v>663</v>
      </c>
      <c r="B235" t="s">
        <v>333</v>
      </c>
      <c r="C235" t="s">
        <v>334</v>
      </c>
      <c r="D235">
        <v>298.14999999999998</v>
      </c>
      <c r="E235" s="1">
        <v>5.8E-4</v>
      </c>
      <c r="F235">
        <v>-3.2365720059999998</v>
      </c>
      <c r="G235" t="s">
        <v>41</v>
      </c>
      <c r="H235" t="s">
        <v>11</v>
      </c>
      <c r="I235">
        <f t="shared" ca="1" si="12"/>
        <v>-2.6494007124284233</v>
      </c>
      <c r="J235">
        <f t="shared" ca="1" si="13"/>
        <v>2.241812506077114E-3</v>
      </c>
      <c r="K235">
        <f t="shared" ca="1" si="14"/>
        <v>0.34477012799451845</v>
      </c>
      <c r="L235">
        <f t="shared" si="15"/>
        <v>3.2364657427357848</v>
      </c>
      <c r="M235">
        <v>2.2567085658263988</v>
      </c>
    </row>
    <row r="236" spans="1:13" x14ac:dyDescent="0.3">
      <c r="A236">
        <v>673</v>
      </c>
      <c r="B236" t="s">
        <v>335</v>
      </c>
      <c r="C236" t="s">
        <v>336</v>
      </c>
      <c r="D236">
        <v>298.14999999999998</v>
      </c>
      <c r="E236" s="1">
        <v>4.0000000000000001E-3</v>
      </c>
      <c r="F236">
        <v>-2.397940009</v>
      </c>
      <c r="G236" t="s">
        <v>57</v>
      </c>
      <c r="H236" t="s">
        <v>20</v>
      </c>
      <c r="I236">
        <f t="shared" ca="1" si="12"/>
        <v>-1.4382571053872903</v>
      </c>
      <c r="J236">
        <f t="shared" ca="1" si="13"/>
        <v>3.64538073929511E-2</v>
      </c>
      <c r="K236">
        <f t="shared" ca="1" si="14"/>
        <v>0.92099127548652149</v>
      </c>
      <c r="L236">
        <f t="shared" si="15"/>
        <v>6.9571974750222996</v>
      </c>
      <c r="M236">
        <v>2.2567085658263988</v>
      </c>
    </row>
    <row r="237" spans="1:13" x14ac:dyDescent="0.3">
      <c r="A237">
        <v>675</v>
      </c>
      <c r="B237" t="s">
        <v>77</v>
      </c>
      <c r="C237" t="s">
        <v>337</v>
      </c>
      <c r="D237">
        <v>298.14999999999998</v>
      </c>
      <c r="E237" s="1">
        <v>1.2E-2</v>
      </c>
      <c r="F237">
        <v>-1.9208187539999999</v>
      </c>
      <c r="G237" t="s">
        <v>57</v>
      </c>
      <c r="H237" t="s">
        <v>20</v>
      </c>
      <c r="I237">
        <f t="shared" ca="1" si="12"/>
        <v>-1.7815365178607534</v>
      </c>
      <c r="J237">
        <f t="shared" ca="1" si="13"/>
        <v>1.6537257246006236E-2</v>
      </c>
      <c r="K237">
        <f t="shared" ca="1" si="14"/>
        <v>1.9399541303948827E-2</v>
      </c>
      <c r="L237">
        <f t="shared" si="15"/>
        <v>9.7017999149083938</v>
      </c>
      <c r="M237">
        <v>2.2567085658263988</v>
      </c>
    </row>
    <row r="238" spans="1:13" x14ac:dyDescent="0.3">
      <c r="A238">
        <v>697</v>
      </c>
      <c r="B238" t="s">
        <v>338</v>
      </c>
      <c r="C238" t="s">
        <v>339</v>
      </c>
      <c r="D238">
        <v>298.14999999999998</v>
      </c>
      <c r="E238" s="1">
        <v>1.1E-4</v>
      </c>
      <c r="F238">
        <v>-3.9586073150000001</v>
      </c>
      <c r="G238" t="s">
        <v>14</v>
      </c>
      <c r="H238" t="s">
        <v>11</v>
      </c>
      <c r="I238">
        <f t="shared" ca="1" si="12"/>
        <v>-2.917490967662542</v>
      </c>
      <c r="J238">
        <f t="shared" ca="1" si="13"/>
        <v>1.2092303319222988E-3</v>
      </c>
      <c r="K238">
        <f t="shared" ca="1" si="14"/>
        <v>1.0839232486932906</v>
      </c>
      <c r="L238">
        <f t="shared" si="15"/>
        <v>1.1598917037898091</v>
      </c>
      <c r="M238">
        <v>2.2567085658263988</v>
      </c>
    </row>
    <row r="239" spans="1:13" x14ac:dyDescent="0.3">
      <c r="A239">
        <v>698</v>
      </c>
      <c r="B239" t="s">
        <v>340</v>
      </c>
      <c r="C239" t="s">
        <v>68</v>
      </c>
      <c r="D239">
        <v>298.14999999999998</v>
      </c>
      <c r="E239" s="1">
        <v>1.7000000000000001E-2</v>
      </c>
      <c r="F239">
        <v>-1.769551079</v>
      </c>
      <c r="G239" t="s">
        <v>266</v>
      </c>
      <c r="H239" t="s">
        <v>20</v>
      </c>
      <c r="I239">
        <f t="shared" ca="1" si="12"/>
        <v>-1.4579962899096732</v>
      </c>
      <c r="J239">
        <f t="shared" ca="1" si="13"/>
        <v>3.4834029082427755E-2</v>
      </c>
      <c r="K239">
        <f t="shared" ca="1" si="14"/>
        <v>9.7066386605117974E-2</v>
      </c>
      <c r="L239">
        <f t="shared" si="15"/>
        <v>10.667010233486844</v>
      </c>
      <c r="M239">
        <v>2.2567085658263988</v>
      </c>
    </row>
    <row r="240" spans="1:13" x14ac:dyDescent="0.3">
      <c r="A240">
        <v>699</v>
      </c>
      <c r="B240" t="s">
        <v>341</v>
      </c>
      <c r="C240" t="s">
        <v>342</v>
      </c>
      <c r="D240">
        <v>298.14999999999998</v>
      </c>
      <c r="E240" s="1">
        <v>8.0199999999999998E-4</v>
      </c>
      <c r="F240">
        <v>-3.0958256319999999</v>
      </c>
      <c r="G240" t="s">
        <v>57</v>
      </c>
      <c r="H240" t="s">
        <v>20</v>
      </c>
      <c r="I240">
        <f t="shared" ca="1" si="12"/>
        <v>-2.5355565874986237</v>
      </c>
      <c r="J240">
        <f t="shared" ca="1" si="13"/>
        <v>2.9136904633633824E-3</v>
      </c>
      <c r="K240">
        <f t="shared" ca="1" si="14"/>
        <v>0.31390140222648516</v>
      </c>
      <c r="L240">
        <f t="shared" si="15"/>
        <v>3.7626858033624395</v>
      </c>
      <c r="M240">
        <v>2.2567085658263988</v>
      </c>
    </row>
    <row r="241" spans="1:13" x14ac:dyDescent="0.3">
      <c r="A241">
        <v>700</v>
      </c>
      <c r="B241" t="s">
        <v>343</v>
      </c>
      <c r="C241" t="s">
        <v>29</v>
      </c>
      <c r="D241">
        <v>298.14999999999998</v>
      </c>
      <c r="E241" s="1">
        <v>4.0000000000000003E-5</v>
      </c>
      <c r="F241">
        <v>-4.397940009</v>
      </c>
      <c r="G241" t="s">
        <v>10</v>
      </c>
      <c r="H241" t="s">
        <v>11</v>
      </c>
      <c r="I241">
        <f t="shared" ca="1" si="12"/>
        <v>-4.0504595947389479</v>
      </c>
      <c r="J241">
        <f t="shared" ca="1" si="13"/>
        <v>8.9030826536819245E-5</v>
      </c>
      <c r="K241">
        <f t="shared" ca="1" si="14"/>
        <v>0.1207426382950324</v>
      </c>
      <c r="L241">
        <f t="shared" si="15"/>
        <v>0.40659751102230002</v>
      </c>
      <c r="M241">
        <v>2.2567085658263988</v>
      </c>
    </row>
    <row r="242" spans="1:13" x14ac:dyDescent="0.3">
      <c r="A242">
        <v>701</v>
      </c>
      <c r="B242" t="s">
        <v>344</v>
      </c>
      <c r="C242" t="s">
        <v>345</v>
      </c>
      <c r="D242">
        <v>298.14999999999998</v>
      </c>
      <c r="E242" s="1">
        <v>1.4999999999999999E-7</v>
      </c>
      <c r="F242">
        <v>-6.8239087410000003</v>
      </c>
      <c r="G242" t="s">
        <v>308</v>
      </c>
      <c r="H242" t="s">
        <v>346</v>
      </c>
      <c r="I242">
        <f t="shared" ca="1" si="12"/>
        <v>-6.1581775352156471</v>
      </c>
      <c r="J242">
        <f t="shared" ca="1" si="13"/>
        <v>6.9474025670356591E-7</v>
      </c>
      <c r="K242">
        <f t="shared" ca="1" si="14"/>
        <v>0.44319803835508881</v>
      </c>
      <c r="L242">
        <f t="shared" si="15"/>
        <v>3.1980839194118262</v>
      </c>
      <c r="M242">
        <v>2.2567085658263988</v>
      </c>
    </row>
    <row r="243" spans="1:13" x14ac:dyDescent="0.3">
      <c r="A243">
        <v>703</v>
      </c>
      <c r="B243" t="s">
        <v>347</v>
      </c>
      <c r="C243" t="s">
        <v>345</v>
      </c>
      <c r="D243">
        <v>298.14999999999998</v>
      </c>
      <c r="E243" s="1">
        <v>3.1E-7</v>
      </c>
      <c r="F243">
        <v>-6.5086383059999999</v>
      </c>
      <c r="G243" t="s">
        <v>348</v>
      </c>
      <c r="H243" t="s">
        <v>346</v>
      </c>
      <c r="I243">
        <f t="shared" ca="1" si="12"/>
        <v>-5.2371099313147873</v>
      </c>
      <c r="J243">
        <f t="shared" ca="1" si="13"/>
        <v>5.7928204640017605E-6</v>
      </c>
      <c r="K243">
        <f t="shared" ca="1" si="14"/>
        <v>1.6167844076296185</v>
      </c>
      <c r="L243">
        <f t="shared" si="15"/>
        <v>2.1698713118094695</v>
      </c>
      <c r="M243">
        <v>2.2567085658263988</v>
      </c>
    </row>
    <row r="244" spans="1:13" x14ac:dyDescent="0.3">
      <c r="A244">
        <v>704</v>
      </c>
      <c r="B244" t="s">
        <v>349</v>
      </c>
      <c r="C244" t="s">
        <v>350</v>
      </c>
      <c r="D244">
        <v>298.14999999999998</v>
      </c>
      <c r="E244" s="1">
        <v>2.0000000000000001E-10</v>
      </c>
      <c r="F244">
        <v>-9.6989700039999995</v>
      </c>
      <c r="G244" t="s">
        <v>260</v>
      </c>
      <c r="H244" t="s">
        <v>11</v>
      </c>
      <c r="I244">
        <f t="shared" ca="1" si="12"/>
        <v>-8.5761573353130469</v>
      </c>
      <c r="J244">
        <f t="shared" ca="1" si="13"/>
        <v>2.6536440311052059E-9</v>
      </c>
      <c r="K244">
        <f t="shared" ca="1" si="14"/>
        <v>1.2607082889639165</v>
      </c>
      <c r="L244">
        <f t="shared" si="15"/>
        <v>21.747113061707037</v>
      </c>
      <c r="M244">
        <v>2.2567085658263988</v>
      </c>
    </row>
    <row r="245" spans="1:13" x14ac:dyDescent="0.3">
      <c r="A245">
        <v>705</v>
      </c>
      <c r="B245" t="s">
        <v>351</v>
      </c>
      <c r="C245" t="s">
        <v>350</v>
      </c>
      <c r="D245">
        <v>298.14999999999998</v>
      </c>
      <c r="E245" s="1">
        <v>3.1000000000000001E-12</v>
      </c>
      <c r="F245">
        <v>-11.50863831</v>
      </c>
      <c r="G245" t="s">
        <v>260</v>
      </c>
      <c r="H245" t="s">
        <v>11</v>
      </c>
      <c r="I245">
        <f t="shared" ca="1" si="12"/>
        <v>-10.670181352871868</v>
      </c>
      <c r="J245">
        <f t="shared" ca="1" si="13"/>
        <v>2.13706950477229E-11</v>
      </c>
      <c r="K245">
        <f t="shared" ca="1" si="14"/>
        <v>0.70301006895656648</v>
      </c>
      <c r="L245">
        <f t="shared" si="15"/>
        <v>41.900354423593861</v>
      </c>
      <c r="M245">
        <v>2.2567085658263988</v>
      </c>
    </row>
    <row r="246" spans="1:13" x14ac:dyDescent="0.3">
      <c r="A246">
        <v>706</v>
      </c>
      <c r="B246" t="s">
        <v>352</v>
      </c>
      <c r="C246" t="s">
        <v>350</v>
      </c>
      <c r="D246">
        <v>298.14999999999998</v>
      </c>
      <c r="E246" s="1">
        <v>5.0000000000000004E-16</v>
      </c>
      <c r="F246">
        <v>-15.301030000000001</v>
      </c>
      <c r="G246" t="s">
        <v>308</v>
      </c>
      <c r="H246" t="s">
        <v>11</v>
      </c>
      <c r="I246">
        <f t="shared" ca="1" si="12"/>
        <v>-14.204323344114346</v>
      </c>
      <c r="J246">
        <f t="shared" ca="1" si="13"/>
        <v>6.2470740784535897E-15</v>
      </c>
      <c r="K246">
        <f t="shared" ca="1" si="14"/>
        <v>1.2027654890638952</v>
      </c>
      <c r="L246">
        <f t="shared" si="15"/>
        <v>105.37925839360004</v>
      </c>
      <c r="M246">
        <v>2.2567085658263988</v>
      </c>
    </row>
    <row r="247" spans="1:13" x14ac:dyDescent="0.3">
      <c r="A247">
        <v>707</v>
      </c>
      <c r="B247" t="s">
        <v>353</v>
      </c>
      <c r="C247" t="s">
        <v>354</v>
      </c>
      <c r="D247">
        <v>298.14999999999998</v>
      </c>
      <c r="E247" s="1">
        <v>6.9999999999999994E-5</v>
      </c>
      <c r="F247">
        <v>-4.1549019600000001</v>
      </c>
      <c r="G247" t="s">
        <v>260</v>
      </c>
      <c r="H247" t="s">
        <v>11</v>
      </c>
      <c r="I247">
        <f t="shared" ca="1" si="12"/>
        <v>-3.280443300399893</v>
      </c>
      <c r="J247">
        <f t="shared" ca="1" si="13"/>
        <v>5.2427204322007519E-4</v>
      </c>
      <c r="K247">
        <f t="shared" ca="1" si="14"/>
        <v>0.76467794734961603</v>
      </c>
      <c r="L247">
        <f t="shared" si="15"/>
        <v>0.77561142379904147</v>
      </c>
      <c r="M247">
        <v>2.2567085658263988</v>
      </c>
    </row>
    <row r="248" spans="1:13" x14ac:dyDescent="0.3">
      <c r="A248">
        <v>708</v>
      </c>
      <c r="B248" t="s">
        <v>355</v>
      </c>
      <c r="C248" t="s">
        <v>356</v>
      </c>
      <c r="D248">
        <v>298.14999999999998</v>
      </c>
      <c r="E248" s="1">
        <v>2.7999999999999999E-8</v>
      </c>
      <c r="F248">
        <v>-7.5528419690000002</v>
      </c>
      <c r="G248" t="s">
        <v>348</v>
      </c>
      <c r="H248" t="s">
        <v>346</v>
      </c>
      <c r="I248">
        <f t="shared" ca="1" si="12"/>
        <v>-7.0024545396310414</v>
      </c>
      <c r="J248">
        <f t="shared" ca="1" si="13"/>
        <v>9.9436415493354646E-8</v>
      </c>
      <c r="K248">
        <f t="shared" ca="1" si="14"/>
        <v>0.30292632240737061</v>
      </c>
      <c r="L248">
        <f t="shared" si="15"/>
        <v>6.3365574754343781</v>
      </c>
      <c r="M248">
        <v>2.2567085658263988</v>
      </c>
    </row>
    <row r="249" spans="1:13" x14ac:dyDescent="0.3">
      <c r="A249">
        <v>710</v>
      </c>
      <c r="B249" t="s">
        <v>357</v>
      </c>
      <c r="C249" t="s">
        <v>358</v>
      </c>
      <c r="D249">
        <v>298.14999999999998</v>
      </c>
      <c r="E249" s="1">
        <v>1E-3</v>
      </c>
      <c r="F249">
        <v>-3</v>
      </c>
      <c r="G249" t="s">
        <v>308</v>
      </c>
      <c r="H249" t="s">
        <v>308</v>
      </c>
      <c r="I249">
        <f t="shared" ca="1" si="12"/>
        <v>-2.7415374788293096</v>
      </c>
      <c r="J249">
        <f t="shared" ca="1" si="13"/>
        <v>1.813270187176762E-3</v>
      </c>
      <c r="K249">
        <f t="shared" ca="1" si="14"/>
        <v>6.6802874849909558E-2</v>
      </c>
      <c r="L249">
        <f t="shared" si="15"/>
        <v>4.1436266480999997</v>
      </c>
      <c r="M249">
        <v>2.2567085658263988</v>
      </c>
    </row>
    <row r="250" spans="1:13" x14ac:dyDescent="0.3">
      <c r="A250">
        <v>712</v>
      </c>
      <c r="B250" t="s">
        <v>359</v>
      </c>
      <c r="C250" t="s">
        <v>360</v>
      </c>
      <c r="D250">
        <v>298.14999999999998</v>
      </c>
      <c r="E250" s="1">
        <v>1E-10</v>
      </c>
      <c r="F250">
        <v>-10</v>
      </c>
      <c r="G250" t="s">
        <v>14</v>
      </c>
      <c r="H250" t="s">
        <v>11</v>
      </c>
      <c r="I250">
        <f t="shared" ca="1" si="12"/>
        <v>-9.2119655906666722</v>
      </c>
      <c r="J250">
        <f t="shared" ca="1" si="13"/>
        <v>6.138106357114867E-10</v>
      </c>
      <c r="K250">
        <f t="shared" ca="1" si="14"/>
        <v>0.62099823029332679</v>
      </c>
      <c r="L250">
        <f t="shared" si="15"/>
        <v>24.645366648100001</v>
      </c>
      <c r="M250">
        <v>2.2567085658263988</v>
      </c>
    </row>
    <row r="251" spans="1:13" x14ac:dyDescent="0.3">
      <c r="A251">
        <v>713</v>
      </c>
      <c r="B251" t="s">
        <v>361</v>
      </c>
      <c r="C251" t="s">
        <v>362</v>
      </c>
      <c r="D251">
        <v>298.14999999999998</v>
      </c>
      <c r="E251" s="1">
        <v>2.0000000000000002E-5</v>
      </c>
      <c r="F251">
        <v>-4.6989700040000004</v>
      </c>
      <c r="G251" t="s">
        <v>10</v>
      </c>
      <c r="H251" t="s">
        <v>11</v>
      </c>
      <c r="I251">
        <f t="shared" ca="1" si="12"/>
        <v>-3.6184968434975366</v>
      </c>
      <c r="J251">
        <f t="shared" ca="1" si="13"/>
        <v>2.4071500144309625E-4</v>
      </c>
      <c r="K251">
        <f t="shared" ca="1" si="14"/>
        <v>1.1674222505661829</v>
      </c>
      <c r="L251">
        <f t="shared" si="15"/>
        <v>0.11331302170703973</v>
      </c>
      <c r="M251">
        <v>2.2567085658263988</v>
      </c>
    </row>
    <row r="252" spans="1:13" x14ac:dyDescent="0.3">
      <c r="A252">
        <v>714</v>
      </c>
      <c r="B252" t="s">
        <v>363</v>
      </c>
      <c r="C252" t="s">
        <v>364</v>
      </c>
      <c r="D252">
        <v>298.14999999999998</v>
      </c>
      <c r="E252" s="1">
        <v>1E-3</v>
      </c>
      <c r="F252">
        <v>-3</v>
      </c>
      <c r="G252" t="s">
        <v>41</v>
      </c>
      <c r="H252" t="s">
        <v>11</v>
      </c>
      <c r="I252">
        <f t="shared" ca="1" si="12"/>
        <v>-2.418265217010215</v>
      </c>
      <c r="J252">
        <f t="shared" ca="1" si="13"/>
        <v>3.8171109451041515E-3</v>
      </c>
      <c r="K252">
        <f t="shared" ca="1" si="14"/>
        <v>0.33841535774017223</v>
      </c>
      <c r="L252">
        <f t="shared" si="15"/>
        <v>4.1436266480999997</v>
      </c>
      <c r="M252">
        <v>2.2567085658263988</v>
      </c>
    </row>
    <row r="253" spans="1:13" x14ac:dyDescent="0.3">
      <c r="A253">
        <v>716</v>
      </c>
      <c r="B253" t="s">
        <v>365</v>
      </c>
      <c r="C253" t="s">
        <v>366</v>
      </c>
      <c r="D253">
        <v>298.14999999999998</v>
      </c>
      <c r="E253" s="1">
        <v>1.6700000000000001E-6</v>
      </c>
      <c r="F253">
        <v>-5.777283529</v>
      </c>
      <c r="G253" t="s">
        <v>260</v>
      </c>
      <c r="H253" t="s">
        <v>11</v>
      </c>
      <c r="I253">
        <f t="shared" ca="1" si="12"/>
        <v>-4.6484366957571828</v>
      </c>
      <c r="J253">
        <f t="shared" ca="1" si="13"/>
        <v>2.2467942525066919E-5</v>
      </c>
      <c r="K253">
        <f t="shared" ca="1" si="14"/>
        <v>1.2742951729223368</v>
      </c>
      <c r="L253">
        <f t="shared" si="15"/>
        <v>0.55010929096047378</v>
      </c>
      <c r="M253">
        <v>2.2567085658263988</v>
      </c>
    </row>
    <row r="254" spans="1:13" x14ac:dyDescent="0.3">
      <c r="A254">
        <v>717</v>
      </c>
      <c r="B254" t="s">
        <v>67</v>
      </c>
      <c r="C254" t="s">
        <v>367</v>
      </c>
      <c r="D254">
        <v>298.14999999999998</v>
      </c>
      <c r="E254" s="1">
        <v>8.6300000000000005E-4</v>
      </c>
      <c r="F254">
        <v>-3.0639892039999999</v>
      </c>
      <c r="G254" t="s">
        <v>57</v>
      </c>
      <c r="H254" t="s">
        <v>20</v>
      </c>
      <c r="I254">
        <f t="shared" ca="1" si="12"/>
        <v>-2.1954737083535378</v>
      </c>
      <c r="J254">
        <f t="shared" ca="1" si="13"/>
        <v>6.3756767741888661E-3</v>
      </c>
      <c r="K254">
        <f t="shared" ca="1" si="14"/>
        <v>0.75431916617801964</v>
      </c>
      <c r="L254">
        <f t="shared" si="15"/>
        <v>3.8872096987878342</v>
      </c>
      <c r="M254">
        <v>2.2567085658263988</v>
      </c>
    </row>
    <row r="255" spans="1:13" x14ac:dyDescent="0.3">
      <c r="A255">
        <v>718</v>
      </c>
      <c r="B255" t="s">
        <v>368</v>
      </c>
      <c r="C255" t="s">
        <v>369</v>
      </c>
      <c r="D255">
        <v>298.14999999999998</v>
      </c>
      <c r="E255" s="1">
        <v>2.0000000000000001E-4</v>
      </c>
      <c r="F255">
        <v>-3.698970004</v>
      </c>
      <c r="G255" t="s">
        <v>308</v>
      </c>
      <c r="H255" t="s">
        <v>308</v>
      </c>
      <c r="I255">
        <f t="shared" ca="1" si="12"/>
        <v>-3.3399352656526422</v>
      </c>
      <c r="J255">
        <f t="shared" ca="1" si="13"/>
        <v>4.5715632658695037E-4</v>
      </c>
      <c r="K255">
        <f t="shared" ca="1" si="14"/>
        <v>0.12890594334015565</v>
      </c>
      <c r="L255">
        <f t="shared" si="15"/>
        <v>1.78655301370704</v>
      </c>
      <c r="M255">
        <v>2.2567085658263988</v>
      </c>
    </row>
    <row r="256" spans="1:13" x14ac:dyDescent="0.3">
      <c r="A256">
        <v>722</v>
      </c>
      <c r="B256" t="s">
        <v>370</v>
      </c>
      <c r="C256" t="s">
        <v>371</v>
      </c>
      <c r="D256">
        <v>298.14999999999998</v>
      </c>
      <c r="E256" s="1">
        <v>2.5399999999999999E-4</v>
      </c>
      <c r="F256">
        <v>-3.5951662830000002</v>
      </c>
      <c r="G256" t="s">
        <v>308</v>
      </c>
      <c r="H256" t="s">
        <v>308</v>
      </c>
      <c r="I256">
        <f t="shared" ca="1" si="12"/>
        <v>-2.8361726595705505</v>
      </c>
      <c r="J256">
        <f t="shared" ca="1" si="13"/>
        <v>1.4582344044585212E-3</v>
      </c>
      <c r="K256">
        <f t="shared" ca="1" si="14"/>
        <v>0.57607132040656517</v>
      </c>
      <c r="L256">
        <f t="shared" si="15"/>
        <v>2.0748204844960956</v>
      </c>
      <c r="M256">
        <v>2.2567085658263988</v>
      </c>
    </row>
    <row r="257" spans="1:13" x14ac:dyDescent="0.3">
      <c r="A257">
        <v>723</v>
      </c>
      <c r="B257" t="s">
        <v>372</v>
      </c>
      <c r="C257" t="s">
        <v>371</v>
      </c>
      <c r="D257">
        <v>298.14999999999998</v>
      </c>
      <c r="E257" s="1">
        <v>6.3999999999999997E-6</v>
      </c>
      <c r="F257">
        <v>-5.193820026</v>
      </c>
      <c r="G257" t="s">
        <v>308</v>
      </c>
      <c r="H257" t="s">
        <v>308</v>
      </c>
      <c r="I257">
        <f t="shared" ca="1" si="12"/>
        <v>-4.1295157427823908</v>
      </c>
      <c r="J257">
        <f t="shared" ca="1" si="13"/>
        <v>7.4213729544518671E-5</v>
      </c>
      <c r="K257">
        <f t="shared" ca="1" si="14"/>
        <v>1.1327436072753492</v>
      </c>
      <c r="L257">
        <f t="shared" si="15"/>
        <v>2.5036741127960685E-2</v>
      </c>
      <c r="M257">
        <v>2.2567085658263988</v>
      </c>
    </row>
    <row r="258" spans="1:13" x14ac:dyDescent="0.3">
      <c r="A258">
        <v>725</v>
      </c>
      <c r="B258" t="s">
        <v>373</v>
      </c>
      <c r="C258" t="s">
        <v>374</v>
      </c>
      <c r="D258">
        <v>298.14999999999998</v>
      </c>
      <c r="E258" s="1">
        <v>5.7499999999999999E-4</v>
      </c>
      <c r="F258">
        <v>-3.2403321549999999</v>
      </c>
      <c r="G258" t="s">
        <v>308</v>
      </c>
      <c r="H258" t="s">
        <v>308</v>
      </c>
      <c r="I258">
        <f t="shared" ca="1" si="12"/>
        <v>-2.4487407802877783</v>
      </c>
      <c r="J258">
        <f t="shared" ca="1" si="13"/>
        <v>3.558436495318383E-3</v>
      </c>
      <c r="K258">
        <f t="shared" ca="1" si="14"/>
        <v>0.62661690451878482</v>
      </c>
      <c r="L258">
        <f t="shared" si="15"/>
        <v>3.2229507300340443</v>
      </c>
      <c r="M258">
        <v>2.2567085658263988</v>
      </c>
    </row>
    <row r="259" spans="1:13" x14ac:dyDescent="0.3">
      <c r="A259">
        <v>726</v>
      </c>
      <c r="B259" t="s">
        <v>375</v>
      </c>
      <c r="C259" t="s">
        <v>376</v>
      </c>
      <c r="D259">
        <v>298.14999999999998</v>
      </c>
      <c r="E259" s="1">
        <v>5.9999999999999997E-7</v>
      </c>
      <c r="F259">
        <v>-6.2218487500000004</v>
      </c>
      <c r="G259" t="s">
        <v>260</v>
      </c>
      <c r="H259" t="s">
        <v>11</v>
      </c>
      <c r="I259">
        <f t="shared" ref="I259:I322" ca="1" si="16">F259*SQRT(0.862321) + RAND()*SQRT(1-0.862321)*M259</f>
        <v>-5.1669546295274014</v>
      </c>
      <c r="J259">
        <f t="shared" ref="J259:J322" ca="1" si="17">POWER(10,I259)</f>
        <v>6.8084048195742821E-6</v>
      </c>
      <c r="K259">
        <f t="shared" ref="K259:K322" ca="1" si="18">(F259-I259)^2</f>
        <v>1.1128016054076582</v>
      </c>
      <c r="L259">
        <f t="shared" ref="L259:L322" si="19">(F259+5.03559)^2</f>
        <v>1.4072098219515634</v>
      </c>
      <c r="M259">
        <v>2.2567085658263988</v>
      </c>
    </row>
    <row r="260" spans="1:13" x14ac:dyDescent="0.3">
      <c r="A260">
        <v>727</v>
      </c>
      <c r="B260" t="s">
        <v>377</v>
      </c>
      <c r="C260" t="s">
        <v>378</v>
      </c>
      <c r="D260">
        <v>298.14999999999998</v>
      </c>
      <c r="E260" s="1">
        <v>2.0000000000000001E-9</v>
      </c>
      <c r="F260">
        <v>-8.6989700039999995</v>
      </c>
      <c r="G260" t="s">
        <v>308</v>
      </c>
      <c r="H260" t="s">
        <v>308</v>
      </c>
      <c r="I260">
        <f t="shared" ca="1" si="16"/>
        <v>-7.6187115523368005</v>
      </c>
      <c r="J260">
        <f t="shared" ca="1" si="17"/>
        <v>2.4059602487997092E-8</v>
      </c>
      <c r="K260">
        <f t="shared" ca="1" si="18"/>
        <v>1.1669583223897722</v>
      </c>
      <c r="L260">
        <f t="shared" si="19"/>
        <v>13.420353053707036</v>
      </c>
      <c r="M260">
        <v>2.2567085658263988</v>
      </c>
    </row>
    <row r="261" spans="1:13" x14ac:dyDescent="0.3">
      <c r="A261">
        <v>730</v>
      </c>
      <c r="B261" t="s">
        <v>379</v>
      </c>
      <c r="C261" t="s">
        <v>380</v>
      </c>
      <c r="D261">
        <v>298.14999999999998</v>
      </c>
      <c r="E261" s="1">
        <v>9.9999999999999995E-8</v>
      </c>
      <c r="F261">
        <v>-7</v>
      </c>
      <c r="G261" t="s">
        <v>308</v>
      </c>
      <c r="H261" t="s">
        <v>38</v>
      </c>
      <c r="I261">
        <f t="shared" ca="1" si="16"/>
        <v>-5.9075353275280111</v>
      </c>
      <c r="J261">
        <f t="shared" ca="1" si="17"/>
        <v>1.2372705405158395E-6</v>
      </c>
      <c r="K261">
        <f t="shared" ca="1" si="18"/>
        <v>1.19347906059933</v>
      </c>
      <c r="L261">
        <f t="shared" si="19"/>
        <v>3.8589066481000001</v>
      </c>
      <c r="M261">
        <v>2.2567085658263988</v>
      </c>
    </row>
    <row r="262" spans="1:13" x14ac:dyDescent="0.3">
      <c r="A262">
        <v>731</v>
      </c>
      <c r="B262" t="s">
        <v>381</v>
      </c>
      <c r="C262" t="s">
        <v>382</v>
      </c>
      <c r="D262">
        <v>298.14999999999998</v>
      </c>
      <c r="E262" s="1">
        <v>6.4999999999999997E-3</v>
      </c>
      <c r="F262">
        <v>-2.1870866430000002</v>
      </c>
      <c r="G262" t="s">
        <v>57</v>
      </c>
      <c r="H262" t="s">
        <v>20</v>
      </c>
      <c r="I262">
        <f t="shared" ca="1" si="16"/>
        <v>-1.8317916391811715</v>
      </c>
      <c r="J262">
        <f t="shared" ca="1" si="17"/>
        <v>1.4730190410901624E-2</v>
      </c>
      <c r="K262">
        <f t="shared" ca="1" si="18"/>
        <v>0.12623453973862153</v>
      </c>
      <c r="L262">
        <f t="shared" si="19"/>
        <v>8.1139713748402684</v>
      </c>
      <c r="M262">
        <v>2.2567085658263988</v>
      </c>
    </row>
    <row r="263" spans="1:13" x14ac:dyDescent="0.3">
      <c r="A263">
        <v>732</v>
      </c>
      <c r="B263" t="s">
        <v>383</v>
      </c>
      <c r="C263" t="s">
        <v>382</v>
      </c>
      <c r="D263">
        <v>298.14999999999998</v>
      </c>
      <c r="E263" s="1">
        <v>5.4999999999999997E-3</v>
      </c>
      <c r="F263">
        <v>-2.2596373110000001</v>
      </c>
      <c r="G263" t="s">
        <v>57</v>
      </c>
      <c r="H263" t="s">
        <v>20</v>
      </c>
      <c r="I263">
        <f t="shared" ca="1" si="16"/>
        <v>-1.6792840205994803</v>
      </c>
      <c r="J263">
        <f t="shared" ca="1" si="17"/>
        <v>2.0927433925595405E-2</v>
      </c>
      <c r="K263">
        <f t="shared" ca="1" si="18"/>
        <v>0.33680994167871003</v>
      </c>
      <c r="L263">
        <f t="shared" si="19"/>
        <v>7.7059133315663306</v>
      </c>
      <c r="M263">
        <v>2.2567085658263988</v>
      </c>
    </row>
    <row r="264" spans="1:13" x14ac:dyDescent="0.3">
      <c r="A264">
        <v>735</v>
      </c>
      <c r="B264" t="s">
        <v>384</v>
      </c>
      <c r="C264" t="s">
        <v>385</v>
      </c>
      <c r="D264">
        <v>298.14999999999998</v>
      </c>
      <c r="E264" s="1">
        <v>9.9999999999999995E-7</v>
      </c>
      <c r="F264">
        <v>-6</v>
      </c>
      <c r="G264" t="s">
        <v>260</v>
      </c>
      <c r="H264" t="s">
        <v>11</v>
      </c>
      <c r="I264">
        <f t="shared" ca="1" si="16"/>
        <v>-4.7689127497493162</v>
      </c>
      <c r="J264">
        <f t="shared" ca="1" si="17"/>
        <v>1.7025005083098436E-5</v>
      </c>
      <c r="K264">
        <f t="shared" ca="1" si="18"/>
        <v>1.5155758177297898</v>
      </c>
      <c r="L264">
        <f t="shared" si="19"/>
        <v>0.93008664809999997</v>
      </c>
      <c r="M264">
        <v>2.2567085658263988</v>
      </c>
    </row>
    <row r="265" spans="1:13" x14ac:dyDescent="0.3">
      <c r="A265">
        <v>738</v>
      </c>
      <c r="B265" t="s">
        <v>386</v>
      </c>
      <c r="C265" t="s">
        <v>387</v>
      </c>
      <c r="D265">
        <v>298.14999999999998</v>
      </c>
      <c r="E265" s="1">
        <v>1.4000000000000001E-13</v>
      </c>
      <c r="F265">
        <v>-12.853871959999999</v>
      </c>
      <c r="G265" t="s">
        <v>260</v>
      </c>
      <c r="H265" t="s">
        <v>11</v>
      </c>
      <c r="I265">
        <f t="shared" ca="1" si="16"/>
        <v>-11.154110659376407</v>
      </c>
      <c r="J265">
        <f t="shared" ca="1" si="17"/>
        <v>7.0127658853358462E-12</v>
      </c>
      <c r="K265">
        <f t="shared" ca="1" si="18"/>
        <v>2.8891884790976063</v>
      </c>
      <c r="L265">
        <f t="shared" si="19"/>
        <v>61.125532806061429</v>
      </c>
      <c r="M265">
        <v>2.2567085658263988</v>
      </c>
    </row>
    <row r="266" spans="1:13" x14ac:dyDescent="0.3">
      <c r="A266">
        <v>743</v>
      </c>
      <c r="B266" t="s">
        <v>388</v>
      </c>
      <c r="C266" t="s">
        <v>389</v>
      </c>
      <c r="D266">
        <v>298.14999999999998</v>
      </c>
      <c r="E266" s="1">
        <v>2.3E-3</v>
      </c>
      <c r="F266">
        <v>-2.638272164</v>
      </c>
      <c r="G266" t="s">
        <v>72</v>
      </c>
      <c r="H266" t="s">
        <v>66</v>
      </c>
      <c r="I266">
        <f t="shared" ca="1" si="16"/>
        <v>-1.8631009953374102</v>
      </c>
      <c r="J266">
        <f t="shared" ca="1" si="17"/>
        <v>1.3705630041843745E-2</v>
      </c>
      <c r="K266">
        <f t="shared" ca="1" si="18"/>
        <v>0.60089034072572511</v>
      </c>
      <c r="L266">
        <f t="shared" si="19"/>
        <v>5.7471328068037231</v>
      </c>
      <c r="M266">
        <v>2.2567085658263988</v>
      </c>
    </row>
    <row r="267" spans="1:13" x14ac:dyDescent="0.3">
      <c r="A267">
        <v>744</v>
      </c>
      <c r="B267" t="s">
        <v>390</v>
      </c>
      <c r="C267" t="s">
        <v>389</v>
      </c>
      <c r="D267">
        <v>298.14999999999998</v>
      </c>
      <c r="E267" s="1">
        <v>2.3E-3</v>
      </c>
      <c r="F267">
        <v>-2.638272164</v>
      </c>
      <c r="G267" t="s">
        <v>72</v>
      </c>
      <c r="H267" t="s">
        <v>66</v>
      </c>
      <c r="I267">
        <f t="shared" ca="1" si="16"/>
        <v>-1.6918859020934915</v>
      </c>
      <c r="J267">
        <f t="shared" ca="1" si="17"/>
        <v>2.0328910221966416E-2</v>
      </c>
      <c r="K267">
        <f t="shared" ca="1" si="18"/>
        <v>0.89564695672537442</v>
      </c>
      <c r="L267">
        <f t="shared" si="19"/>
        <v>5.7471328068037231</v>
      </c>
      <c r="M267">
        <v>2.2567085658263988</v>
      </c>
    </row>
    <row r="268" spans="1:13" x14ac:dyDescent="0.3">
      <c r="A268">
        <v>745</v>
      </c>
      <c r="B268" t="s">
        <v>391</v>
      </c>
      <c r="C268" t="s">
        <v>389</v>
      </c>
      <c r="D268">
        <v>298.14999999999998</v>
      </c>
      <c r="E268" s="1">
        <v>1.98E-3</v>
      </c>
      <c r="F268">
        <v>-2.7033348099999999</v>
      </c>
      <c r="G268" t="s">
        <v>72</v>
      </c>
      <c r="H268" t="s">
        <v>66</v>
      </c>
      <c r="I268">
        <f t="shared" ca="1" si="16"/>
        <v>-1.6848772478623941</v>
      </c>
      <c r="J268">
        <f t="shared" ca="1" si="17"/>
        <v>2.0659640123244609E-2</v>
      </c>
      <c r="K268">
        <f t="shared" ca="1" si="18"/>
        <v>1.037255805875275</v>
      </c>
      <c r="L268">
        <f t="shared" si="19"/>
        <v>5.4394142712819367</v>
      </c>
      <c r="M268">
        <v>2.2567085658263988</v>
      </c>
    </row>
    <row r="269" spans="1:13" x14ac:dyDescent="0.3">
      <c r="A269">
        <v>746</v>
      </c>
      <c r="B269" t="s">
        <v>392</v>
      </c>
      <c r="C269" t="s">
        <v>389</v>
      </c>
      <c r="D269">
        <v>298.14999999999998</v>
      </c>
      <c r="E269" s="1">
        <v>1.83E-3</v>
      </c>
      <c r="F269">
        <v>-2.7375489100000001</v>
      </c>
      <c r="G269" t="s">
        <v>72</v>
      </c>
      <c r="H269" t="s">
        <v>66</v>
      </c>
      <c r="I269">
        <f t="shared" ca="1" si="16"/>
        <v>-2.3830843101262964</v>
      </c>
      <c r="J269">
        <f t="shared" ca="1" si="17"/>
        <v>4.1391931235018392E-3</v>
      </c>
      <c r="K269">
        <f t="shared" ca="1" si="18"/>
        <v>0.12564515256362488</v>
      </c>
      <c r="L269">
        <f t="shared" si="19"/>
        <v>5.2809928513283877</v>
      </c>
      <c r="M269">
        <v>2.2567085658263988</v>
      </c>
    </row>
    <row r="270" spans="1:13" x14ac:dyDescent="0.3">
      <c r="A270">
        <v>747</v>
      </c>
      <c r="B270" t="s">
        <v>393</v>
      </c>
      <c r="C270" t="s">
        <v>389</v>
      </c>
      <c r="D270">
        <v>298.14999999999998</v>
      </c>
      <c r="E270" s="1">
        <v>1.5E-3</v>
      </c>
      <c r="F270">
        <v>-2.8239087409999999</v>
      </c>
      <c r="G270" t="s">
        <v>72</v>
      </c>
      <c r="H270" t="s">
        <v>66</v>
      </c>
      <c r="I270">
        <f t="shared" ca="1" si="16"/>
        <v>-2.0877466764448029</v>
      </c>
      <c r="J270">
        <f t="shared" ca="1" si="17"/>
        <v>8.1705882201653594E-3</v>
      </c>
      <c r="K270">
        <f t="shared" ca="1" si="18"/>
        <v>0.54193458529016991</v>
      </c>
      <c r="L270">
        <f t="shared" si="19"/>
        <v>4.8915339914118254</v>
      </c>
      <c r="M270">
        <v>2.2567085658263988</v>
      </c>
    </row>
    <row r="271" spans="1:13" x14ac:dyDescent="0.3">
      <c r="A271">
        <v>748</v>
      </c>
      <c r="B271" t="s">
        <v>394</v>
      </c>
      <c r="C271" t="s">
        <v>389</v>
      </c>
      <c r="D271">
        <v>298.14999999999998</v>
      </c>
      <c r="E271" s="1">
        <v>8.9999999999999998E-4</v>
      </c>
      <c r="F271">
        <v>-3.0457574909999998</v>
      </c>
      <c r="G271" t="s">
        <v>72</v>
      </c>
      <c r="H271" t="s">
        <v>66</v>
      </c>
      <c r="I271">
        <f t="shared" ca="1" si="16"/>
        <v>-2.6836296775721018</v>
      </c>
      <c r="J271">
        <f t="shared" ca="1" si="17"/>
        <v>2.071907308855407E-3</v>
      </c>
      <c r="K271">
        <f t="shared" ca="1" si="18"/>
        <v>0.13113655325807053</v>
      </c>
      <c r="L271">
        <f t="shared" si="19"/>
        <v>3.9594334138732359</v>
      </c>
      <c r="M271">
        <v>2.2567085658263988</v>
      </c>
    </row>
    <row r="272" spans="1:13" x14ac:dyDescent="0.3">
      <c r="A272">
        <v>749</v>
      </c>
      <c r="B272" t="s">
        <v>395</v>
      </c>
      <c r="C272" t="s">
        <v>389</v>
      </c>
      <c r="D272">
        <v>298.14999999999998</v>
      </c>
      <c r="E272" s="1">
        <v>1.08E-3</v>
      </c>
      <c r="F272">
        <v>-2.9665762450000002</v>
      </c>
      <c r="G272" t="s">
        <v>72</v>
      </c>
      <c r="H272" t="s">
        <v>66</v>
      </c>
      <c r="I272">
        <f t="shared" ca="1" si="16"/>
        <v>-2.4003451752232934</v>
      </c>
      <c r="J272">
        <f t="shared" ca="1" si="17"/>
        <v>3.9779088254480411E-3</v>
      </c>
      <c r="K272">
        <f t="shared" ca="1" si="18"/>
        <v>0.32061762438047381</v>
      </c>
      <c r="L272">
        <f t="shared" si="19"/>
        <v>4.2808179183791992</v>
      </c>
      <c r="M272">
        <v>2.2567085658263988</v>
      </c>
    </row>
    <row r="273" spans="1:13" x14ac:dyDescent="0.3">
      <c r="A273">
        <v>750</v>
      </c>
      <c r="B273" t="s">
        <v>396</v>
      </c>
      <c r="C273" t="s">
        <v>389</v>
      </c>
      <c r="D273">
        <v>298.14999999999998</v>
      </c>
      <c r="E273" s="1">
        <v>9.2900000000000003E-4</v>
      </c>
      <c r="F273">
        <v>-3.0319842860000001</v>
      </c>
      <c r="G273" t="s">
        <v>72</v>
      </c>
      <c r="H273" t="s">
        <v>66</v>
      </c>
      <c r="I273">
        <f t="shared" ca="1" si="16"/>
        <v>-2.6766498742060167</v>
      </c>
      <c r="J273">
        <f t="shared" ca="1" si="17"/>
        <v>2.1054751780933685E-3</v>
      </c>
      <c r="K273">
        <f t="shared" ca="1" si="18"/>
        <v>0.12626254420497618</v>
      </c>
      <c r="L273">
        <f t="shared" si="19"/>
        <v>4.0144358571734493</v>
      </c>
      <c r="M273">
        <v>2.2567085658263988</v>
      </c>
    </row>
    <row r="274" spans="1:13" x14ac:dyDescent="0.3">
      <c r="A274">
        <v>751</v>
      </c>
      <c r="B274" t="s">
        <v>397</v>
      </c>
      <c r="C274" t="s">
        <v>389</v>
      </c>
      <c r="D274">
        <v>298.14999999999998</v>
      </c>
      <c r="E274" s="1">
        <v>9.01E-4</v>
      </c>
      <c r="F274">
        <v>-3.0452752090000001</v>
      </c>
      <c r="G274" t="s">
        <v>72</v>
      </c>
      <c r="H274" t="s">
        <v>66</v>
      </c>
      <c r="I274">
        <f t="shared" ca="1" si="16"/>
        <v>-2.7834147582268467</v>
      </c>
      <c r="J274">
        <f t="shared" ca="1" si="17"/>
        <v>1.6465891212579559E-3</v>
      </c>
      <c r="K274">
        <f t="shared" ca="1" si="18"/>
        <v>6.8570895679119129E-2</v>
      </c>
      <c r="L274">
        <f t="shared" si="19"/>
        <v>3.9613529672733732</v>
      </c>
      <c r="M274">
        <v>2.2567085658263988</v>
      </c>
    </row>
    <row r="275" spans="1:13" x14ac:dyDescent="0.3">
      <c r="A275">
        <v>752</v>
      </c>
      <c r="B275" t="s">
        <v>398</v>
      </c>
      <c r="C275" t="s">
        <v>389</v>
      </c>
      <c r="D275">
        <v>298.14999999999998</v>
      </c>
      <c r="E275" s="1">
        <v>8.6399999999999997E-4</v>
      </c>
      <c r="F275">
        <v>-3.0634862580000002</v>
      </c>
      <c r="G275" t="s">
        <v>72</v>
      </c>
      <c r="H275" t="s">
        <v>66</v>
      </c>
      <c r="I275">
        <f t="shared" ca="1" si="16"/>
        <v>-2.6981599875954108</v>
      </c>
      <c r="J275">
        <f t="shared" ca="1" si="17"/>
        <v>2.003733745826903E-3</v>
      </c>
      <c r="K275">
        <f t="shared" ca="1" si="18"/>
        <v>0.13346328384772718</v>
      </c>
      <c r="L275">
        <f t="shared" si="19"/>
        <v>3.8891931692104018</v>
      </c>
      <c r="M275">
        <v>2.2567085658263988</v>
      </c>
    </row>
    <row r="276" spans="1:13" x14ac:dyDescent="0.3">
      <c r="A276">
        <v>753</v>
      </c>
      <c r="B276" t="s">
        <v>399</v>
      </c>
      <c r="C276" t="s">
        <v>389</v>
      </c>
      <c r="D276">
        <v>298.14999999999998</v>
      </c>
      <c r="E276" s="1">
        <v>8.7399999999999999E-4</v>
      </c>
      <c r="F276">
        <v>-3.0584885669999999</v>
      </c>
      <c r="G276" t="s">
        <v>72</v>
      </c>
      <c r="H276" t="s">
        <v>66</v>
      </c>
      <c r="I276">
        <f t="shared" ca="1" si="16"/>
        <v>-2.0812804821832307</v>
      </c>
      <c r="J276">
        <f t="shared" ca="1" si="17"/>
        <v>8.2931499462468618E-3</v>
      </c>
      <c r="K276">
        <f t="shared" ca="1" si="18"/>
        <v>0.95493564103125805</v>
      </c>
      <c r="L276">
        <f t="shared" si="19"/>
        <v>3.9089300763706536</v>
      </c>
      <c r="M276">
        <v>2.2567085658263988</v>
      </c>
    </row>
    <row r="277" spans="1:13" x14ac:dyDescent="0.3">
      <c r="A277">
        <v>754</v>
      </c>
      <c r="B277" t="s">
        <v>400</v>
      </c>
      <c r="C277" t="s">
        <v>389</v>
      </c>
      <c r="D277">
        <v>298.14999999999998</v>
      </c>
      <c r="E277" s="1">
        <v>8.0500000000000005E-4</v>
      </c>
      <c r="F277">
        <v>-3.0942041200000001</v>
      </c>
      <c r="G277" t="s">
        <v>72</v>
      </c>
      <c r="H277" t="s">
        <v>66</v>
      </c>
      <c r="I277">
        <f t="shared" ca="1" si="16"/>
        <v>-2.2684835057053911</v>
      </c>
      <c r="J277">
        <f t="shared" ca="1" si="17"/>
        <v>5.3891031253793242E-3</v>
      </c>
      <c r="K277">
        <f t="shared" ca="1" si="18"/>
        <v>0.68181453287106641</v>
      </c>
      <c r="L277">
        <f t="shared" si="19"/>
        <v>3.7689791350633741</v>
      </c>
      <c r="M277">
        <v>2.2567085658263988</v>
      </c>
    </row>
    <row r="278" spans="1:13" x14ac:dyDescent="0.3">
      <c r="A278">
        <v>755</v>
      </c>
      <c r="B278" t="s">
        <v>269</v>
      </c>
      <c r="C278" t="s">
        <v>389</v>
      </c>
      <c r="D278">
        <v>298.14999999999998</v>
      </c>
      <c r="E278" s="1">
        <v>6.9399999999999996E-4</v>
      </c>
      <c r="F278">
        <v>-3.15864053</v>
      </c>
      <c r="G278" t="s">
        <v>72</v>
      </c>
      <c r="H278" t="s">
        <v>66</v>
      </c>
      <c r="I278">
        <f t="shared" ca="1" si="16"/>
        <v>-2.7631157197433787</v>
      </c>
      <c r="J278">
        <f t="shared" ca="1" si="17"/>
        <v>1.7253780958809495E-3</v>
      </c>
      <c r="K278">
        <f t="shared" ca="1" si="18"/>
        <v>0.1564398755285363</v>
      </c>
      <c r="L278">
        <f t="shared" si="19"/>
        <v>3.5229393129332811</v>
      </c>
      <c r="M278">
        <v>2.2567085658263988</v>
      </c>
    </row>
    <row r="279" spans="1:13" x14ac:dyDescent="0.3">
      <c r="A279">
        <v>756</v>
      </c>
      <c r="B279" t="s">
        <v>401</v>
      </c>
      <c r="C279" t="s">
        <v>389</v>
      </c>
      <c r="D279">
        <v>298.14999999999998</v>
      </c>
      <c r="E279" s="1">
        <v>4.4099999999999999E-4</v>
      </c>
      <c r="F279">
        <v>-3.355561411</v>
      </c>
      <c r="G279" t="s">
        <v>72</v>
      </c>
      <c r="H279" t="s">
        <v>66</v>
      </c>
      <c r="I279">
        <f t="shared" ca="1" si="16"/>
        <v>-2.6855820617650998</v>
      </c>
      <c r="J279">
        <f t="shared" ca="1" si="17"/>
        <v>2.0626138909353932E-3</v>
      </c>
      <c r="K279">
        <f t="shared" ca="1" si="18"/>
        <v>0.44887232840122038</v>
      </c>
      <c r="L279">
        <f t="shared" si="19"/>
        <v>2.8224960598573308</v>
      </c>
      <c r="M279">
        <v>2.2567085658263988</v>
      </c>
    </row>
    <row r="280" spans="1:13" x14ac:dyDescent="0.3">
      <c r="A280">
        <v>762</v>
      </c>
      <c r="B280" t="s">
        <v>402</v>
      </c>
      <c r="C280" t="s">
        <v>403</v>
      </c>
      <c r="D280">
        <v>298.14999999999998</v>
      </c>
      <c r="E280" s="1">
        <v>7.7600000000000002E-5</v>
      </c>
      <c r="F280">
        <v>-4.1100263620000002</v>
      </c>
      <c r="G280" t="s">
        <v>57</v>
      </c>
      <c r="H280" t="s">
        <v>20</v>
      </c>
      <c r="I280">
        <f t="shared" ca="1" si="16"/>
        <v>-3.6724355030534426</v>
      </c>
      <c r="J280">
        <f t="shared" ca="1" si="17"/>
        <v>2.1260060543112596E-4</v>
      </c>
      <c r="K280">
        <f t="shared" ca="1" si="18"/>
        <v>0.19148575983358607</v>
      </c>
      <c r="L280">
        <f t="shared" si="19"/>
        <v>0.85666804798779472</v>
      </c>
      <c r="M280">
        <v>2.2567085658263988</v>
      </c>
    </row>
    <row r="281" spans="1:13" x14ac:dyDescent="0.3">
      <c r="A281">
        <v>764</v>
      </c>
      <c r="B281" t="s">
        <v>404</v>
      </c>
      <c r="C281" t="s">
        <v>405</v>
      </c>
      <c r="D281">
        <v>298.14999999999998</v>
      </c>
      <c r="E281" s="1">
        <v>4.9299999999999998E-8</v>
      </c>
      <c r="F281">
        <v>-7.307153081</v>
      </c>
      <c r="G281" t="s">
        <v>57</v>
      </c>
      <c r="H281" t="s">
        <v>20</v>
      </c>
      <c r="I281">
        <f t="shared" ca="1" si="16"/>
        <v>-6.4671408863264652</v>
      </c>
      <c r="J281">
        <f t="shared" ca="1" si="17"/>
        <v>3.4108224565251201E-7</v>
      </c>
      <c r="K281">
        <f t="shared" ca="1" si="18"/>
        <v>0.70562048720024861</v>
      </c>
      <c r="L281">
        <f t="shared" si="19"/>
        <v>5.1599988309622127</v>
      </c>
      <c r="M281">
        <v>2.2567085658263988</v>
      </c>
    </row>
    <row r="282" spans="1:13" x14ac:dyDescent="0.3">
      <c r="A282">
        <v>765</v>
      </c>
      <c r="B282" t="s">
        <v>406</v>
      </c>
      <c r="C282" t="s">
        <v>405</v>
      </c>
      <c r="D282">
        <v>298.14999999999998</v>
      </c>
      <c r="E282" s="1">
        <v>1.9999999999999999E-6</v>
      </c>
      <c r="F282">
        <v>-5.6989700040000004</v>
      </c>
      <c r="G282" t="s">
        <v>57</v>
      </c>
      <c r="H282" t="s">
        <v>20</v>
      </c>
      <c r="I282">
        <f t="shared" ca="1" si="16"/>
        <v>-4.9529063395465016</v>
      </c>
      <c r="J282">
        <f t="shared" ca="1" si="17"/>
        <v>1.1145348695625506E-5</v>
      </c>
      <c r="K282">
        <f t="shared" ca="1" si="18"/>
        <v>0.55661099141778281</v>
      </c>
      <c r="L282">
        <f t="shared" si="19"/>
        <v>0.44007302970704054</v>
      </c>
      <c r="M282">
        <v>2.2567085658263988</v>
      </c>
    </row>
    <row r="283" spans="1:13" x14ac:dyDescent="0.3">
      <c r="A283">
        <v>769</v>
      </c>
      <c r="B283" t="s">
        <v>407</v>
      </c>
      <c r="C283" t="s">
        <v>408</v>
      </c>
      <c r="D283">
        <v>298.14999999999998</v>
      </c>
      <c r="E283" s="1">
        <v>8.0000000000000004E-4</v>
      </c>
      <c r="F283">
        <v>-3.096910013</v>
      </c>
      <c r="G283" t="s">
        <v>10</v>
      </c>
      <c r="H283" t="s">
        <v>11</v>
      </c>
      <c r="I283">
        <f t="shared" ca="1" si="16"/>
        <v>-2.2313305471206588</v>
      </c>
      <c r="J283">
        <f t="shared" ca="1" si="17"/>
        <v>5.8704237694208773E-3</v>
      </c>
      <c r="K283">
        <f t="shared" ca="1" si="18"/>
        <v>0.74922781175196562</v>
      </c>
      <c r="L283">
        <f t="shared" si="19"/>
        <v>3.7584800919943202</v>
      </c>
      <c r="M283">
        <v>2.2567085658263988</v>
      </c>
    </row>
    <row r="284" spans="1:13" x14ac:dyDescent="0.3">
      <c r="A284">
        <v>770</v>
      </c>
      <c r="B284" t="s">
        <v>409</v>
      </c>
      <c r="C284" t="s">
        <v>410</v>
      </c>
      <c r="D284">
        <v>298.14999999999998</v>
      </c>
      <c r="E284" s="1">
        <v>3.4000000000000002E-4</v>
      </c>
      <c r="F284">
        <v>-3.4685210830000002</v>
      </c>
      <c r="G284" t="s">
        <v>10</v>
      </c>
      <c r="H284" t="s">
        <v>11</v>
      </c>
      <c r="I284">
        <f t="shared" ca="1" si="16"/>
        <v>-3.1573821840358973</v>
      </c>
      <c r="J284">
        <f t="shared" ca="1" si="17"/>
        <v>6.9601374459324697E-4</v>
      </c>
      <c r="K284">
        <f t="shared" ca="1" si="18"/>
        <v>9.6807414448594198E-2</v>
      </c>
      <c r="L284">
        <f t="shared" si="19"/>
        <v>2.4557049906275523</v>
      </c>
      <c r="M284">
        <v>2.2567085658263988</v>
      </c>
    </row>
    <row r="285" spans="1:13" x14ac:dyDescent="0.3">
      <c r="A285">
        <v>772</v>
      </c>
      <c r="B285" t="s">
        <v>411</v>
      </c>
      <c r="C285" t="s">
        <v>412</v>
      </c>
      <c r="D285">
        <v>298.14999999999998</v>
      </c>
      <c r="E285" s="1">
        <v>8.6E-3</v>
      </c>
      <c r="F285">
        <v>-2.0655015489999999</v>
      </c>
      <c r="G285" t="s">
        <v>57</v>
      </c>
      <c r="H285" t="s">
        <v>20</v>
      </c>
      <c r="I285">
        <f t="shared" ca="1" si="16"/>
        <v>-1.1589257375188975</v>
      </c>
      <c r="J285">
        <f t="shared" ca="1" si="17"/>
        <v>6.9354438897345203E-2</v>
      </c>
      <c r="K285">
        <f t="shared" ca="1" si="18"/>
        <v>0.82187970196261939</v>
      </c>
      <c r="L285">
        <f t="shared" si="19"/>
        <v>8.8214254067635807</v>
      </c>
      <c r="M285">
        <v>2.2567085658263988</v>
      </c>
    </row>
    <row r="286" spans="1:13" x14ac:dyDescent="0.3">
      <c r="A286">
        <v>773</v>
      </c>
      <c r="B286" t="s">
        <v>413</v>
      </c>
      <c r="C286" t="s">
        <v>414</v>
      </c>
      <c r="D286">
        <v>298.14999999999998</v>
      </c>
      <c r="E286" s="1">
        <v>2.4000000000000001E-5</v>
      </c>
      <c r="F286">
        <v>-4.6197887580000003</v>
      </c>
      <c r="G286" t="s">
        <v>10</v>
      </c>
      <c r="H286" t="s">
        <v>11</v>
      </c>
      <c r="I286">
        <f t="shared" ca="1" si="16"/>
        <v>-3.4786442079829736</v>
      </c>
      <c r="J286">
        <f t="shared" ca="1" si="17"/>
        <v>3.3216647063785551E-4</v>
      </c>
      <c r="K286">
        <f t="shared" ca="1" si="18"/>
        <v>1.3022108840335624</v>
      </c>
      <c r="L286">
        <f t="shared" si="19"/>
        <v>0.17289067284874229</v>
      </c>
      <c r="M286">
        <v>2.2567085658263988</v>
      </c>
    </row>
    <row r="287" spans="1:13" x14ac:dyDescent="0.3">
      <c r="A287">
        <v>774</v>
      </c>
      <c r="B287" t="s">
        <v>415</v>
      </c>
      <c r="C287" t="s">
        <v>414</v>
      </c>
      <c r="D287">
        <v>298.14999999999998</v>
      </c>
      <c r="E287" s="1">
        <v>1.06E-5</v>
      </c>
      <c r="F287">
        <v>-4.974694135</v>
      </c>
      <c r="G287" t="s">
        <v>10</v>
      </c>
      <c r="H287" t="s">
        <v>11</v>
      </c>
      <c r="I287">
        <f t="shared" ca="1" si="16"/>
        <v>-4.5474333735719243</v>
      </c>
      <c r="J287">
        <f t="shared" ca="1" si="17"/>
        <v>2.8350885396237566E-5</v>
      </c>
      <c r="K287">
        <f t="shared" ca="1" si="18"/>
        <v>0.18255175825609901</v>
      </c>
      <c r="L287">
        <f t="shared" si="19"/>
        <v>3.7083063740982244E-3</v>
      </c>
      <c r="M287">
        <v>2.2567085658263988</v>
      </c>
    </row>
    <row r="288" spans="1:13" x14ac:dyDescent="0.3">
      <c r="A288">
        <v>777</v>
      </c>
      <c r="B288" t="s">
        <v>416</v>
      </c>
      <c r="C288" t="s">
        <v>417</v>
      </c>
      <c r="D288">
        <v>298.14999999999998</v>
      </c>
      <c r="E288" s="1">
        <v>3.5E-4</v>
      </c>
      <c r="F288">
        <v>-3.4559319560000001</v>
      </c>
      <c r="G288" t="s">
        <v>10</v>
      </c>
      <c r="H288" t="s">
        <v>11</v>
      </c>
      <c r="I288">
        <f t="shared" ca="1" si="16"/>
        <v>-2.8346836439117871</v>
      </c>
      <c r="J288">
        <f t="shared" ca="1" si="17"/>
        <v>1.4632426661620001E-3</v>
      </c>
      <c r="K288">
        <f t="shared" ca="1" si="18"/>
        <v>0.38594946527245377</v>
      </c>
      <c r="L288">
        <f t="shared" si="19"/>
        <v>2.4953195359739055</v>
      </c>
      <c r="M288">
        <v>2.2567085658263988</v>
      </c>
    </row>
    <row r="289" spans="1:13" x14ac:dyDescent="0.3">
      <c r="A289">
        <v>778</v>
      </c>
      <c r="B289" t="s">
        <v>67</v>
      </c>
      <c r="C289" t="s">
        <v>418</v>
      </c>
      <c r="D289">
        <v>298.14999999999998</v>
      </c>
      <c r="E289" s="1">
        <v>3.2000000000000002E-3</v>
      </c>
      <c r="F289">
        <v>-2.4948500220000001</v>
      </c>
      <c r="G289" t="s">
        <v>57</v>
      </c>
      <c r="H289" t="s">
        <v>20</v>
      </c>
      <c r="I289">
        <f t="shared" ca="1" si="16"/>
        <v>-1.6583473904374069</v>
      </c>
      <c r="J289">
        <f t="shared" ca="1" si="17"/>
        <v>2.1961025163152903E-2</v>
      </c>
      <c r="K289">
        <f t="shared" ca="1" si="18"/>
        <v>0.69973665261114348</v>
      </c>
      <c r="L289">
        <f t="shared" si="19"/>
        <v>6.4553596358074401</v>
      </c>
      <c r="M289">
        <v>2.2567085658263988</v>
      </c>
    </row>
    <row r="290" spans="1:13" x14ac:dyDescent="0.3">
      <c r="A290">
        <v>781</v>
      </c>
      <c r="B290" t="s">
        <v>419</v>
      </c>
      <c r="C290" t="s">
        <v>109</v>
      </c>
      <c r="D290">
        <v>298.14999999999998</v>
      </c>
      <c r="E290" s="1">
        <v>2.5100000000000001E-7</v>
      </c>
      <c r="F290">
        <v>-6.6001532870000004</v>
      </c>
      <c r="G290" t="s">
        <v>57</v>
      </c>
      <c r="H290" t="s">
        <v>20</v>
      </c>
      <c r="I290">
        <f t="shared" ca="1" si="16"/>
        <v>-5.6474909330214995</v>
      </c>
      <c r="J290">
        <f t="shared" ca="1" si="17"/>
        <v>2.2516924259389503E-6</v>
      </c>
      <c r="K290">
        <f t="shared" ca="1" si="18"/>
        <v>0.90756556068785843</v>
      </c>
      <c r="L290">
        <f t="shared" si="19"/>
        <v>2.4478582790282455</v>
      </c>
      <c r="M290">
        <v>2.2567085658263988</v>
      </c>
    </row>
    <row r="291" spans="1:13" x14ac:dyDescent="0.3">
      <c r="A291">
        <v>783</v>
      </c>
      <c r="B291" t="s">
        <v>261</v>
      </c>
      <c r="C291" t="s">
        <v>420</v>
      </c>
      <c r="D291">
        <v>298.14999999999998</v>
      </c>
      <c r="E291" s="1">
        <v>1.5999999999999999E-10</v>
      </c>
      <c r="F291">
        <v>-9.795880017</v>
      </c>
      <c r="G291" t="s">
        <v>57</v>
      </c>
      <c r="H291" t="s">
        <v>20</v>
      </c>
      <c r="I291">
        <f t="shared" ca="1" si="16"/>
        <v>-9.0325961478621082</v>
      </c>
      <c r="J291">
        <f t="shared" ca="1" si="17"/>
        <v>9.276920869072928E-10</v>
      </c>
      <c r="K291">
        <f t="shared" ca="1" si="18"/>
        <v>0.58260226488611033</v>
      </c>
      <c r="L291">
        <f t="shared" si="19"/>
        <v>22.660361045949859</v>
      </c>
      <c r="M291">
        <v>2.2567085658263988</v>
      </c>
    </row>
    <row r="292" spans="1:13" x14ac:dyDescent="0.3">
      <c r="A292">
        <v>784</v>
      </c>
      <c r="B292" t="s">
        <v>421</v>
      </c>
      <c r="C292" t="s">
        <v>422</v>
      </c>
      <c r="D292">
        <v>298.14999999999998</v>
      </c>
      <c r="E292" s="1">
        <v>6.2600000000000004E-5</v>
      </c>
      <c r="F292">
        <v>-4.2034256670000003</v>
      </c>
      <c r="G292" t="s">
        <v>72</v>
      </c>
      <c r="H292" t="s">
        <v>66</v>
      </c>
      <c r="I292">
        <f t="shared" ca="1" si="16"/>
        <v>-3.0967707334289596</v>
      </c>
      <c r="J292">
        <f t="shared" ca="1" si="17"/>
        <v>8.0025660361065436E-4</v>
      </c>
      <c r="K292">
        <f t="shared" ca="1" si="18"/>
        <v>1.2246851419971245</v>
      </c>
      <c r="L292">
        <f t="shared" si="19"/>
        <v>0.69249747711733434</v>
      </c>
      <c r="M292">
        <v>2.2567085658263988</v>
      </c>
    </row>
    <row r="293" spans="1:13" x14ac:dyDescent="0.3">
      <c r="A293">
        <v>789</v>
      </c>
      <c r="B293" t="s">
        <v>423</v>
      </c>
      <c r="C293" t="s">
        <v>424</v>
      </c>
      <c r="D293">
        <v>298.14999999999998</v>
      </c>
      <c r="E293" s="1">
        <v>6.9999999999999994E-5</v>
      </c>
      <c r="F293">
        <v>-4.1549019600000001</v>
      </c>
      <c r="G293" t="s">
        <v>57</v>
      </c>
      <c r="H293" t="s">
        <v>20</v>
      </c>
      <c r="I293">
        <f t="shared" ca="1" si="16"/>
        <v>-3.0700040495274847</v>
      </c>
      <c r="J293">
        <f t="shared" ca="1" si="17"/>
        <v>8.5113010190349711E-4</v>
      </c>
      <c r="K293">
        <f t="shared" ca="1" si="18"/>
        <v>1.17700347614763</v>
      </c>
      <c r="L293">
        <f t="shared" si="19"/>
        <v>0.77561142379904147</v>
      </c>
      <c r="M293">
        <v>2.2567085658263988</v>
      </c>
    </row>
    <row r="294" spans="1:13" x14ac:dyDescent="0.3">
      <c r="A294">
        <v>791</v>
      </c>
      <c r="B294" t="s">
        <v>425</v>
      </c>
      <c r="C294" t="s">
        <v>426</v>
      </c>
      <c r="D294">
        <v>298.14999999999998</v>
      </c>
      <c r="E294" s="1">
        <v>1.36E-5</v>
      </c>
      <c r="F294">
        <v>-4.8664610919999998</v>
      </c>
      <c r="G294" t="s">
        <v>348</v>
      </c>
      <c r="H294" t="s">
        <v>20</v>
      </c>
      <c r="I294">
        <f t="shared" ca="1" si="16"/>
        <v>-4.2538026966394895</v>
      </c>
      <c r="J294">
        <f t="shared" ca="1" si="17"/>
        <v>5.5743894025978091E-5</v>
      </c>
      <c r="K294">
        <f t="shared" ca="1" si="18"/>
        <v>0.37535030940571529</v>
      </c>
      <c r="L294">
        <f t="shared" si="19"/>
        <v>2.8604587521272547E-2</v>
      </c>
      <c r="M294">
        <v>2.2567085658263988</v>
      </c>
    </row>
    <row r="295" spans="1:13" x14ac:dyDescent="0.3">
      <c r="A295">
        <v>792</v>
      </c>
      <c r="B295" t="s">
        <v>427</v>
      </c>
      <c r="C295" t="s">
        <v>428</v>
      </c>
      <c r="D295">
        <v>298.14999999999998</v>
      </c>
      <c r="E295" s="1">
        <v>1.6000000000000001E-4</v>
      </c>
      <c r="F295">
        <v>-3.795880017</v>
      </c>
      <c r="G295" t="s">
        <v>57</v>
      </c>
      <c r="H295" t="s">
        <v>20</v>
      </c>
      <c r="I295">
        <f t="shared" ca="1" si="16"/>
        <v>-2.7105478718049603</v>
      </c>
      <c r="J295">
        <f t="shared" ca="1" si="17"/>
        <v>1.9473863798439692E-3</v>
      </c>
      <c r="K295">
        <f t="shared" ca="1" si="18"/>
        <v>1.1779458653936667</v>
      </c>
      <c r="L295">
        <f t="shared" si="19"/>
        <v>1.5368808419498603</v>
      </c>
      <c r="M295">
        <v>2.2567085658263988</v>
      </c>
    </row>
    <row r="296" spans="1:13" x14ac:dyDescent="0.3">
      <c r="A296">
        <v>794</v>
      </c>
      <c r="B296" t="s">
        <v>429</v>
      </c>
      <c r="C296" t="s">
        <v>49</v>
      </c>
      <c r="D296">
        <v>298.14999999999998</v>
      </c>
      <c r="E296" s="1">
        <v>2.7E-4</v>
      </c>
      <c r="F296">
        <v>-3.5686362360000001</v>
      </c>
      <c r="G296" t="s">
        <v>10</v>
      </c>
      <c r="H296" t="s">
        <v>11</v>
      </c>
      <c r="I296">
        <f t="shared" ca="1" si="16"/>
        <v>-3.3004216991931017</v>
      </c>
      <c r="J296">
        <f t="shared" ca="1" si="17"/>
        <v>5.0070081788022847E-4</v>
      </c>
      <c r="K296">
        <f t="shared" ca="1" si="18"/>
        <v>7.1939037754539081E-2</v>
      </c>
      <c r="L296">
        <f t="shared" si="19"/>
        <v>2.1519533457137672</v>
      </c>
      <c r="M296">
        <v>2.2567085658263988</v>
      </c>
    </row>
    <row r="297" spans="1:13" x14ac:dyDescent="0.3">
      <c r="A297">
        <v>800</v>
      </c>
      <c r="B297" t="s">
        <v>430</v>
      </c>
      <c r="C297" t="s">
        <v>431</v>
      </c>
      <c r="D297">
        <v>298.14999999999998</v>
      </c>
      <c r="E297" s="1">
        <v>9.2000000000000003E-4</v>
      </c>
      <c r="F297">
        <v>-3.036212173</v>
      </c>
      <c r="G297" t="s">
        <v>10</v>
      </c>
      <c r="H297" t="s">
        <v>11</v>
      </c>
      <c r="I297">
        <f t="shared" ca="1" si="16"/>
        <v>-2.6686009045073242</v>
      </c>
      <c r="J297">
        <f t="shared" ca="1" si="17"/>
        <v>2.1448607183748324E-3</v>
      </c>
      <c r="K297">
        <f t="shared" ca="1" si="18"/>
        <v>0.13513804472279417</v>
      </c>
      <c r="L297">
        <f t="shared" si="19"/>
        <v>3.997511695099242</v>
      </c>
      <c r="M297">
        <v>2.2567085658263988</v>
      </c>
    </row>
    <row r="298" spans="1:13" x14ac:dyDescent="0.3">
      <c r="A298">
        <v>801</v>
      </c>
      <c r="B298" t="s">
        <v>432</v>
      </c>
      <c r="C298" t="s">
        <v>431</v>
      </c>
      <c r="D298">
        <v>298.14999999999998</v>
      </c>
      <c r="E298" s="1">
        <v>7.2999999999999996E-4</v>
      </c>
      <c r="F298">
        <v>-3.1366771400000002</v>
      </c>
      <c r="G298" t="s">
        <v>10</v>
      </c>
      <c r="H298" t="s">
        <v>11</v>
      </c>
      <c r="I298">
        <f t="shared" ca="1" si="16"/>
        <v>-2.4937842673581505</v>
      </c>
      <c r="J298">
        <f t="shared" ca="1" si="17"/>
        <v>3.2078624112400738E-3</v>
      </c>
      <c r="K298">
        <f t="shared" ca="1" si="18"/>
        <v>0.41331124569368954</v>
      </c>
      <c r="L298">
        <f t="shared" si="19"/>
        <v>3.6058700498733791</v>
      </c>
      <c r="M298">
        <v>2.2567085658263988</v>
      </c>
    </row>
    <row r="299" spans="1:13" x14ac:dyDescent="0.3">
      <c r="A299">
        <v>803</v>
      </c>
      <c r="B299" t="s">
        <v>433</v>
      </c>
      <c r="C299" t="s">
        <v>431</v>
      </c>
      <c r="D299">
        <v>298.14999999999998</v>
      </c>
      <c r="E299" s="1">
        <v>3.2000000000000003E-4</v>
      </c>
      <c r="F299">
        <v>-3.4948500220000001</v>
      </c>
      <c r="G299" t="s">
        <v>10</v>
      </c>
      <c r="H299" t="s">
        <v>11</v>
      </c>
      <c r="I299">
        <f t="shared" ca="1" si="16"/>
        <v>-2.5522244185530454</v>
      </c>
      <c r="J299">
        <f t="shared" ca="1" si="17"/>
        <v>2.8039843247701451E-3</v>
      </c>
      <c r="K299">
        <f t="shared" ca="1" si="18"/>
        <v>0.88854302827373544</v>
      </c>
      <c r="L299">
        <f t="shared" si="19"/>
        <v>2.3738796798074402</v>
      </c>
      <c r="M299">
        <v>2.2567085658263988</v>
      </c>
    </row>
    <row r="300" spans="1:13" x14ac:dyDescent="0.3">
      <c r="A300">
        <v>804</v>
      </c>
      <c r="B300" t="s">
        <v>434</v>
      </c>
      <c r="C300" t="s">
        <v>431</v>
      </c>
      <c r="D300">
        <v>298.14999999999998</v>
      </c>
      <c r="E300" s="1">
        <v>2.7999999999999998E-4</v>
      </c>
      <c r="F300">
        <v>-3.5528419690000002</v>
      </c>
      <c r="G300" t="s">
        <v>10</v>
      </c>
      <c r="H300" t="s">
        <v>11</v>
      </c>
      <c r="I300">
        <f t="shared" ca="1" si="16"/>
        <v>-2.8911090846668763</v>
      </c>
      <c r="J300">
        <f t="shared" ca="1" si="17"/>
        <v>1.284963866386866E-3</v>
      </c>
      <c r="K300">
        <f t="shared" ca="1" si="18"/>
        <v>0.43789041020783542</v>
      </c>
      <c r="L300">
        <f t="shared" si="19"/>
        <v>2.1985417234343765</v>
      </c>
      <c r="M300">
        <v>2.2567085658263988</v>
      </c>
    </row>
    <row r="301" spans="1:13" x14ac:dyDescent="0.3">
      <c r="A301">
        <v>805</v>
      </c>
      <c r="B301" t="s">
        <v>435</v>
      </c>
      <c r="C301" t="s">
        <v>431</v>
      </c>
      <c r="D301">
        <v>298.14999999999998</v>
      </c>
      <c r="E301" s="1">
        <v>1.6000000000000001E-4</v>
      </c>
      <c r="F301">
        <v>-3.795880017</v>
      </c>
      <c r="G301" t="s">
        <v>10</v>
      </c>
      <c r="H301" t="s">
        <v>11</v>
      </c>
      <c r="I301">
        <f t="shared" ca="1" si="16"/>
        <v>-3.1299275753420126</v>
      </c>
      <c r="J301">
        <f t="shared" ca="1" si="17"/>
        <v>7.4143387542449266E-4</v>
      </c>
      <c r="K301">
        <f t="shared" ca="1" si="18"/>
        <v>0.44349265455023512</v>
      </c>
      <c r="L301">
        <f t="shared" si="19"/>
        <v>1.5368808419498603</v>
      </c>
      <c r="M301">
        <v>2.2567085658263988</v>
      </c>
    </row>
    <row r="302" spans="1:13" x14ac:dyDescent="0.3">
      <c r="A302">
        <v>808</v>
      </c>
      <c r="B302" t="s">
        <v>436</v>
      </c>
      <c r="C302" t="s">
        <v>437</v>
      </c>
      <c r="D302">
        <v>298.14999999999998</v>
      </c>
      <c r="E302" s="1">
        <v>4.4999999999999999E-4</v>
      </c>
      <c r="F302">
        <v>-3.3467874860000002</v>
      </c>
      <c r="G302" t="s">
        <v>10</v>
      </c>
      <c r="H302" t="s">
        <v>11</v>
      </c>
      <c r="I302">
        <f t="shared" ca="1" si="16"/>
        <v>-2.5116831945440952</v>
      </c>
      <c r="J302">
        <f t="shared" ca="1" si="17"/>
        <v>3.0783415583990133E-3</v>
      </c>
      <c r="K302">
        <f t="shared" ca="1" si="18"/>
        <v>0.69739917760806913</v>
      </c>
      <c r="L302">
        <f t="shared" si="19"/>
        <v>2.8520539312927196</v>
      </c>
      <c r="M302">
        <v>2.2567085658263988</v>
      </c>
    </row>
    <row r="303" spans="1:13" x14ac:dyDescent="0.3">
      <c r="A303">
        <v>812</v>
      </c>
      <c r="B303" t="s">
        <v>438</v>
      </c>
      <c r="C303" t="s">
        <v>439</v>
      </c>
      <c r="D303">
        <v>298.14999999999998</v>
      </c>
      <c r="E303" s="1">
        <v>3.4000000000000001E-6</v>
      </c>
      <c r="F303">
        <v>-5.4685210829999997</v>
      </c>
      <c r="G303" t="s">
        <v>10</v>
      </c>
      <c r="H303" t="s">
        <v>11</v>
      </c>
      <c r="I303">
        <f t="shared" ca="1" si="16"/>
        <v>-4.4479163777152326</v>
      </c>
      <c r="J303">
        <f t="shared" ca="1" si="17"/>
        <v>3.5651977378265338E-5</v>
      </c>
      <c r="K303">
        <f t="shared" ca="1" si="18"/>
        <v>1.0416339644494064</v>
      </c>
      <c r="L303">
        <f t="shared" si="19"/>
        <v>0.18742932262755263</v>
      </c>
      <c r="M303">
        <v>2.2567085658263988</v>
      </c>
    </row>
    <row r="304" spans="1:13" x14ac:dyDescent="0.3">
      <c r="A304">
        <v>817</v>
      </c>
      <c r="B304" t="s">
        <v>81</v>
      </c>
      <c r="C304" t="s">
        <v>440</v>
      </c>
      <c r="D304">
        <v>298.14999999999998</v>
      </c>
      <c r="E304" s="1">
        <v>2.2000000000000001E-3</v>
      </c>
      <c r="F304">
        <v>-2.657577319</v>
      </c>
      <c r="G304" t="s">
        <v>57</v>
      </c>
      <c r="H304" t="s">
        <v>20</v>
      </c>
      <c r="I304">
        <f t="shared" ca="1" si="16"/>
        <v>-1.6661376211925312</v>
      </c>
      <c r="J304">
        <f t="shared" ca="1" si="17"/>
        <v>2.157060761704991E-2</v>
      </c>
      <c r="K304">
        <f t="shared" ca="1" si="18"/>
        <v>0.98295267438856526</v>
      </c>
      <c r="L304">
        <f t="shared" si="19"/>
        <v>5.6549443109968074</v>
      </c>
      <c r="M304">
        <v>2.2567085658263988</v>
      </c>
    </row>
    <row r="305" spans="1:13" x14ac:dyDescent="0.3">
      <c r="A305">
        <v>818</v>
      </c>
      <c r="B305" t="s">
        <v>441</v>
      </c>
      <c r="C305" t="s">
        <v>442</v>
      </c>
      <c r="D305">
        <v>298.14999999999998</v>
      </c>
      <c r="E305" s="1">
        <v>6.3000000000000003E-4</v>
      </c>
      <c r="F305">
        <v>-3.2006594509999999</v>
      </c>
      <c r="G305" t="s">
        <v>10</v>
      </c>
      <c r="H305" t="s">
        <v>11</v>
      </c>
      <c r="I305">
        <f t="shared" ca="1" si="16"/>
        <v>-2.4157861476182885</v>
      </c>
      <c r="J305">
        <f t="shared" ca="1" si="17"/>
        <v>3.8389623457220612E-3</v>
      </c>
      <c r="K305">
        <f t="shared" ca="1" si="18"/>
        <v>0.61602610236132005</v>
      </c>
      <c r="L305">
        <f t="shared" si="19"/>
        <v>3.3669701196534416</v>
      </c>
      <c r="M305">
        <v>2.2567085658263988</v>
      </c>
    </row>
    <row r="306" spans="1:13" x14ac:dyDescent="0.3">
      <c r="A306">
        <v>836</v>
      </c>
      <c r="B306" t="s">
        <v>443</v>
      </c>
      <c r="C306" t="s">
        <v>49</v>
      </c>
      <c r="D306">
        <v>298.14999999999998</v>
      </c>
      <c r="E306" s="1">
        <v>2.51E-5</v>
      </c>
      <c r="F306">
        <v>-4.5999803650000004</v>
      </c>
      <c r="G306" t="s">
        <v>10</v>
      </c>
      <c r="H306" t="s">
        <v>11</v>
      </c>
      <c r="I306">
        <f t="shared" ca="1" si="16"/>
        <v>-4.2645808753720758</v>
      </c>
      <c r="J306">
        <f t="shared" ca="1" si="17"/>
        <v>5.4377485921754119E-5</v>
      </c>
      <c r="K306">
        <f t="shared" ca="1" si="18"/>
        <v>0.11249281764267234</v>
      </c>
      <c r="L306">
        <f t="shared" si="19"/>
        <v>0.18975575410483289</v>
      </c>
      <c r="M306">
        <v>2.2567085658263988</v>
      </c>
    </row>
    <row r="307" spans="1:13" x14ac:dyDescent="0.3">
      <c r="A307">
        <v>847</v>
      </c>
      <c r="B307" t="s">
        <v>444</v>
      </c>
      <c r="C307" t="s">
        <v>91</v>
      </c>
      <c r="D307">
        <v>298.14999999999998</v>
      </c>
      <c r="E307" s="1">
        <v>1.15E-8</v>
      </c>
      <c r="F307">
        <v>-7.9393021600000004</v>
      </c>
      <c r="G307" t="s">
        <v>19</v>
      </c>
      <c r="H307" t="s">
        <v>11</v>
      </c>
      <c r="I307">
        <f t="shared" ca="1" si="16"/>
        <v>-6.7119194703665919</v>
      </c>
      <c r="J307">
        <f t="shared" ca="1" si="17"/>
        <v>1.9412458023133914E-7</v>
      </c>
      <c r="K307">
        <f t="shared" ca="1" si="18"/>
        <v>1.5064682668117402</v>
      </c>
      <c r="L307">
        <f t="shared" si="19"/>
        <v>8.4315443081318673</v>
      </c>
      <c r="M307">
        <v>2.2567085658263988</v>
      </c>
    </row>
    <row r="308" spans="1:13" x14ac:dyDescent="0.3">
      <c r="A308">
        <v>852</v>
      </c>
      <c r="B308" t="s">
        <v>445</v>
      </c>
      <c r="C308" t="s">
        <v>91</v>
      </c>
      <c r="D308">
        <v>298.14999999999998</v>
      </c>
      <c r="E308" s="1">
        <v>1.32E-9</v>
      </c>
      <c r="F308">
        <v>-8.8794260690000009</v>
      </c>
      <c r="G308" t="s">
        <v>19</v>
      </c>
      <c r="H308" t="s">
        <v>11</v>
      </c>
      <c r="I308">
        <f t="shared" ca="1" si="16"/>
        <v>-8.0667999530063117</v>
      </c>
      <c r="J308">
        <f t="shared" ca="1" si="17"/>
        <v>8.5743270941636431E-9</v>
      </c>
      <c r="K308">
        <f t="shared" ca="1" si="18"/>
        <v>0.6603612043949888</v>
      </c>
      <c r="L308">
        <f t="shared" si="19"/>
        <v>14.775075725345379</v>
      </c>
      <c r="M308">
        <v>2.2567085658263988</v>
      </c>
    </row>
    <row r="309" spans="1:13" x14ac:dyDescent="0.3">
      <c r="A309">
        <v>859</v>
      </c>
      <c r="B309" t="s">
        <v>446</v>
      </c>
      <c r="C309" t="s">
        <v>109</v>
      </c>
      <c r="D309">
        <v>298.14999999999998</v>
      </c>
      <c r="E309" s="1">
        <v>2.84E-7</v>
      </c>
      <c r="F309">
        <v>-6.54668166</v>
      </c>
      <c r="G309" t="s">
        <v>57</v>
      </c>
      <c r="H309" t="s">
        <v>20</v>
      </c>
      <c r="I309">
        <f t="shared" ca="1" si="16"/>
        <v>-5.9313447285339933</v>
      </c>
      <c r="J309">
        <f t="shared" ca="1" si="17"/>
        <v>1.1712652849855446E-6</v>
      </c>
      <c r="K309">
        <f t="shared" ca="1" si="18"/>
        <v>0.37863953922600097</v>
      </c>
      <c r="L309">
        <f t="shared" si="19"/>
        <v>2.2833980049215556</v>
      </c>
      <c r="M309">
        <v>2.2567085658263988</v>
      </c>
    </row>
    <row r="310" spans="1:13" x14ac:dyDescent="0.3">
      <c r="A310">
        <v>861</v>
      </c>
      <c r="B310" t="s">
        <v>447</v>
      </c>
      <c r="C310" t="s">
        <v>126</v>
      </c>
      <c r="D310">
        <v>298.14999999999998</v>
      </c>
      <c r="E310" s="1">
        <v>2.7999999999999999E-6</v>
      </c>
      <c r="F310">
        <v>-5.5528419690000002</v>
      </c>
      <c r="G310" t="s">
        <v>14</v>
      </c>
      <c r="H310" t="s">
        <v>11</v>
      </c>
      <c r="I310">
        <f t="shared" ca="1" si="16"/>
        <v>-4.7971324909149384</v>
      </c>
      <c r="J310">
        <f t="shared" ca="1" si="17"/>
        <v>1.5953923640784256E-5</v>
      </c>
      <c r="K310">
        <f t="shared" ca="1" si="18"/>
        <v>0.57109681526759637</v>
      </c>
      <c r="L310">
        <f t="shared" si="19"/>
        <v>0.26754959943437712</v>
      </c>
      <c r="M310">
        <v>2.2567085658263988</v>
      </c>
    </row>
    <row r="311" spans="1:13" x14ac:dyDescent="0.3">
      <c r="A311">
        <v>868</v>
      </c>
      <c r="B311" t="s">
        <v>448</v>
      </c>
      <c r="C311" t="s">
        <v>109</v>
      </c>
      <c r="D311">
        <v>298.14999999999998</v>
      </c>
      <c r="E311" s="1">
        <v>6.3399999999999996E-5</v>
      </c>
      <c r="F311">
        <v>-4.1979107420000004</v>
      </c>
      <c r="G311" t="s">
        <v>57</v>
      </c>
      <c r="H311" t="s">
        <v>20</v>
      </c>
      <c r="I311">
        <f t="shared" ca="1" si="16"/>
        <v>-3.2042580916253804</v>
      </c>
      <c r="J311">
        <f t="shared" ca="1" si="17"/>
        <v>6.2480127681549785E-4</v>
      </c>
      <c r="K311">
        <f t="shared" ca="1" si="18"/>
        <v>0.98734558959650665</v>
      </c>
      <c r="L311">
        <f t="shared" si="19"/>
        <v>0.70170653928342996</v>
      </c>
      <c r="M311">
        <v>2.2567085658263988</v>
      </c>
    </row>
    <row r="312" spans="1:13" x14ac:dyDescent="0.3">
      <c r="A312">
        <v>869</v>
      </c>
      <c r="B312" t="s">
        <v>449</v>
      </c>
      <c r="C312" t="s">
        <v>126</v>
      </c>
      <c r="D312">
        <v>298.14999999999998</v>
      </c>
      <c r="E312" s="1">
        <v>1.9000000000000001E-4</v>
      </c>
      <c r="F312">
        <v>-3.721246399</v>
      </c>
      <c r="G312" t="s">
        <v>14</v>
      </c>
      <c r="H312" t="s">
        <v>11</v>
      </c>
      <c r="I312">
        <f t="shared" ca="1" si="16"/>
        <v>-3.0539582504889551</v>
      </c>
      <c r="J312">
        <f t="shared" ca="1" si="17"/>
        <v>8.8316479656104193E-4</v>
      </c>
      <c r="K312">
        <f t="shared" ca="1" si="18"/>
        <v>0.44527347314329829</v>
      </c>
      <c r="L312">
        <f t="shared" si="19"/>
        <v>1.7274991014896472</v>
      </c>
      <c r="M312">
        <v>2.2567085658263988</v>
      </c>
    </row>
    <row r="313" spans="1:13" x14ac:dyDescent="0.3">
      <c r="A313">
        <v>870</v>
      </c>
      <c r="B313" t="s">
        <v>450</v>
      </c>
      <c r="C313" t="s">
        <v>451</v>
      </c>
      <c r="D313">
        <v>298.14999999999998</v>
      </c>
      <c r="E313" s="1">
        <v>2.4000000000000001E-4</v>
      </c>
      <c r="F313">
        <v>-3.6197887579999999</v>
      </c>
      <c r="G313" t="s">
        <v>14</v>
      </c>
      <c r="H313" t="s">
        <v>11</v>
      </c>
      <c r="I313">
        <f t="shared" ca="1" si="16"/>
        <v>-3.195106852064177</v>
      </c>
      <c r="J313">
        <f t="shared" ca="1" si="17"/>
        <v>6.3810646973116558E-4</v>
      </c>
      <c r="K313">
        <f t="shared" ca="1" si="18"/>
        <v>0.18035472122928312</v>
      </c>
      <c r="L313">
        <f t="shared" si="19"/>
        <v>2.004493156848743</v>
      </c>
      <c r="M313">
        <v>2.2567085658263988</v>
      </c>
    </row>
    <row r="314" spans="1:13" x14ac:dyDescent="0.3">
      <c r="A314">
        <v>889</v>
      </c>
      <c r="B314" t="s">
        <v>452</v>
      </c>
      <c r="C314" t="s">
        <v>453</v>
      </c>
      <c r="D314">
        <v>298.14999999999998</v>
      </c>
      <c r="E314" s="1">
        <v>5.8799999999999998E-3</v>
      </c>
      <c r="F314">
        <v>-2.2306226740000001</v>
      </c>
      <c r="G314" t="s">
        <v>19</v>
      </c>
      <c r="H314" t="s">
        <v>66</v>
      </c>
      <c r="I314">
        <f t="shared" ca="1" si="16"/>
        <v>-1.5831958404505253</v>
      </c>
      <c r="J314">
        <f t="shared" ca="1" si="17"/>
        <v>2.6109836937280775E-2</v>
      </c>
      <c r="K314">
        <f t="shared" ca="1" si="18"/>
        <v>0.41916150479989939</v>
      </c>
      <c r="L314">
        <f t="shared" si="19"/>
        <v>7.86784169992759</v>
      </c>
      <c r="M314">
        <v>2.2567085658263988</v>
      </c>
    </row>
    <row r="315" spans="1:13" x14ac:dyDescent="0.3">
      <c r="A315">
        <v>890</v>
      </c>
      <c r="B315" t="s">
        <v>454</v>
      </c>
      <c r="C315" t="s">
        <v>104</v>
      </c>
      <c r="D315">
        <v>298.14999999999998</v>
      </c>
      <c r="E315" s="1">
        <v>2.1100000000000001E-6</v>
      </c>
      <c r="F315">
        <v>-5.6757175450000004</v>
      </c>
      <c r="G315" t="s">
        <v>10</v>
      </c>
      <c r="H315" t="s">
        <v>11</v>
      </c>
      <c r="I315">
        <f t="shared" ca="1" si="16"/>
        <v>-4.634610382312669</v>
      </c>
      <c r="J315">
        <f t="shared" ca="1" si="17"/>
        <v>2.3194745821582582E-5</v>
      </c>
      <c r="K315">
        <f t="shared" ca="1" si="18"/>
        <v>1.0839041241988656</v>
      </c>
      <c r="L315">
        <f t="shared" si="19"/>
        <v>0.40976327386772748</v>
      </c>
      <c r="M315">
        <v>2.2567085658263988</v>
      </c>
    </row>
    <row r="316" spans="1:13" x14ac:dyDescent="0.3">
      <c r="A316">
        <v>892</v>
      </c>
      <c r="B316" t="s">
        <v>110</v>
      </c>
      <c r="C316" t="s">
        <v>455</v>
      </c>
      <c r="D316">
        <v>298.14999999999998</v>
      </c>
      <c r="E316">
        <v>6.3090000000000004E-3</v>
      </c>
      <c r="F316">
        <v>-2.2000394729999999</v>
      </c>
      <c r="G316" t="s">
        <v>14</v>
      </c>
      <c r="H316" t="s">
        <v>11</v>
      </c>
      <c r="I316">
        <f t="shared" ca="1" si="16"/>
        <v>-1.8309226163154351</v>
      </c>
      <c r="J316">
        <f t="shared" ca="1" si="17"/>
        <v>1.4759695018100909E-2</v>
      </c>
      <c r="K316">
        <f t="shared" ca="1" si="18"/>
        <v>0.13624725388869358</v>
      </c>
      <c r="L316">
        <f t="shared" si="19"/>
        <v>8.0403467911699789</v>
      </c>
      <c r="M316">
        <v>2.2567085658263988</v>
      </c>
    </row>
    <row r="317" spans="1:13" x14ac:dyDescent="0.3">
      <c r="A317">
        <v>901</v>
      </c>
      <c r="B317" t="s">
        <v>456</v>
      </c>
      <c r="C317" t="s">
        <v>457</v>
      </c>
      <c r="D317">
        <v>298.14999999999998</v>
      </c>
      <c r="E317" s="1">
        <v>1.26E-8</v>
      </c>
      <c r="F317">
        <v>-7.8999742700000004</v>
      </c>
      <c r="G317" t="s">
        <v>57</v>
      </c>
      <c r="H317" t="s">
        <v>20</v>
      </c>
      <c r="I317">
        <f t="shared" ca="1" si="16"/>
        <v>-6.703032301673133</v>
      </c>
      <c r="J317">
        <f t="shared" ca="1" si="17"/>
        <v>1.9813796505546716E-7</v>
      </c>
      <c r="K317">
        <f t="shared" ca="1" si="18"/>
        <v>1.4326700755421957</v>
      </c>
      <c r="L317">
        <f t="shared" si="19"/>
        <v>8.2046972462234358</v>
      </c>
      <c r="M317">
        <v>2.2567085658263988</v>
      </c>
    </row>
    <row r="318" spans="1:13" x14ac:dyDescent="0.3">
      <c r="A318">
        <v>903</v>
      </c>
      <c r="B318" t="s">
        <v>458</v>
      </c>
      <c r="C318" t="s">
        <v>459</v>
      </c>
      <c r="D318">
        <v>298.14999999999998</v>
      </c>
      <c r="E318" s="1">
        <v>6.3100000000000004E-12</v>
      </c>
      <c r="F318">
        <v>-11.19997064</v>
      </c>
      <c r="G318" t="s">
        <v>460</v>
      </c>
      <c r="H318" t="s">
        <v>11</v>
      </c>
      <c r="I318">
        <f t="shared" ca="1" si="16"/>
        <v>-9.7763446886254712</v>
      </c>
      <c r="J318">
        <f t="shared" ca="1" si="17"/>
        <v>1.6736140433226474E-10</v>
      </c>
      <c r="K318">
        <f t="shared" ca="1" si="18"/>
        <v>2.0267108494270323</v>
      </c>
      <c r="L318">
        <f t="shared" si="19"/>
        <v>37.999588674806809</v>
      </c>
      <c r="M318">
        <v>2.2567085658263988</v>
      </c>
    </row>
    <row r="319" spans="1:13" x14ac:dyDescent="0.3">
      <c r="A319">
        <v>904</v>
      </c>
      <c r="B319" t="s">
        <v>461</v>
      </c>
      <c r="C319" t="s">
        <v>459</v>
      </c>
      <c r="D319">
        <v>298.14999999999998</v>
      </c>
      <c r="E319" s="1">
        <v>1.12E-10</v>
      </c>
      <c r="F319">
        <v>-9.9507819770000001</v>
      </c>
      <c r="G319" t="s">
        <v>460</v>
      </c>
      <c r="H319" t="s">
        <v>11</v>
      </c>
      <c r="I319">
        <f t="shared" ca="1" si="16"/>
        <v>-8.5175637227639314</v>
      </c>
      <c r="J319">
        <f t="shared" ca="1" si="17"/>
        <v>3.0369404578289198E-9</v>
      </c>
      <c r="K319">
        <f t="shared" ca="1" si="18"/>
        <v>2.0541145642754848</v>
      </c>
      <c r="L319">
        <f t="shared" si="19"/>
        <v>24.159112170765169</v>
      </c>
      <c r="M319">
        <v>2.2567085658263988</v>
      </c>
    </row>
    <row r="320" spans="1:13" x14ac:dyDescent="0.3">
      <c r="A320">
        <v>905</v>
      </c>
      <c r="B320" t="s">
        <v>462</v>
      </c>
      <c r="C320" t="s">
        <v>459</v>
      </c>
      <c r="D320">
        <v>298.14999999999998</v>
      </c>
      <c r="E320" s="1">
        <v>5.0100000000000003E-10</v>
      </c>
      <c r="F320">
        <v>-9.3001622739999998</v>
      </c>
      <c r="G320" t="s">
        <v>460</v>
      </c>
      <c r="H320" t="s">
        <v>11</v>
      </c>
      <c r="I320">
        <f t="shared" ca="1" si="16"/>
        <v>-8.4417699301034794</v>
      </c>
      <c r="J320">
        <f t="shared" ca="1" si="17"/>
        <v>3.6160137222933912E-9</v>
      </c>
      <c r="K320">
        <f t="shared" ca="1" si="18"/>
        <v>0.73683741606016218</v>
      </c>
      <c r="L320">
        <f t="shared" si="19"/>
        <v>18.18657668016953</v>
      </c>
      <c r="M320">
        <v>2.2567085658263988</v>
      </c>
    </row>
    <row r="321" spans="1:13" x14ac:dyDescent="0.3">
      <c r="A321">
        <v>906</v>
      </c>
      <c r="B321" t="s">
        <v>463</v>
      </c>
      <c r="C321" t="s">
        <v>459</v>
      </c>
      <c r="D321">
        <v>298.14999999999998</v>
      </c>
      <c r="E321" s="1">
        <v>1.26E-9</v>
      </c>
      <c r="F321">
        <v>-8.8996294549999995</v>
      </c>
      <c r="G321" t="s">
        <v>460</v>
      </c>
      <c r="H321" t="s">
        <v>11</v>
      </c>
      <c r="I321">
        <f t="shared" ca="1" si="16"/>
        <v>-7.5575216228466129</v>
      </c>
      <c r="J321">
        <f t="shared" ca="1" si="17"/>
        <v>2.7699911221817783E-8</v>
      </c>
      <c r="K321">
        <f t="shared" ca="1" si="18"/>
        <v>1.801253433127463</v>
      </c>
      <c r="L321">
        <f t="shared" si="19"/>
        <v>14.930800909796693</v>
      </c>
      <c r="M321">
        <v>2.2567085658263988</v>
      </c>
    </row>
    <row r="322" spans="1:13" x14ac:dyDescent="0.3">
      <c r="A322">
        <v>907</v>
      </c>
      <c r="B322" t="s">
        <v>464</v>
      </c>
      <c r="C322" t="s">
        <v>459</v>
      </c>
      <c r="D322">
        <v>298.14999999999998</v>
      </c>
      <c r="E322" s="1">
        <v>1.4100000000000001E-9</v>
      </c>
      <c r="F322">
        <v>-8.8507808870000009</v>
      </c>
      <c r="G322" t="s">
        <v>460</v>
      </c>
      <c r="H322" t="s">
        <v>11</v>
      </c>
      <c r="I322">
        <f t="shared" ca="1" si="16"/>
        <v>-7.6065070489550983</v>
      </c>
      <c r="J322">
        <f t="shared" ca="1" si="17"/>
        <v>2.4745312973384281E-8</v>
      </c>
      <c r="K322">
        <f t="shared" ca="1" si="18"/>
        <v>1.5482173840429925</v>
      </c>
      <c r="L322">
        <f t="shared" si="19"/>
        <v>14.555681504247854</v>
      </c>
      <c r="M322">
        <v>2.2567085658263988</v>
      </c>
    </row>
    <row r="323" spans="1:13" x14ac:dyDescent="0.3">
      <c r="A323">
        <v>913</v>
      </c>
      <c r="B323" t="s">
        <v>465</v>
      </c>
      <c r="C323" t="s">
        <v>466</v>
      </c>
      <c r="D323">
        <v>298.14999999999998</v>
      </c>
      <c r="E323" s="1">
        <v>1.31E-8</v>
      </c>
      <c r="F323">
        <v>-7.8827287039999998</v>
      </c>
      <c r="G323" t="s">
        <v>308</v>
      </c>
      <c r="H323" t="s">
        <v>20</v>
      </c>
      <c r="I323">
        <f t="shared" ref="I323:I386" ca="1" si="20">F323*SQRT(0.862321) + RAND()*SQRT(1-0.862321)*M323</f>
        <v>-7.306329968660294</v>
      </c>
      <c r="J323">
        <f t="shared" ref="J323:J386" ca="1" si="21">POWER(10,I323)</f>
        <v>4.9393526179763427E-8</v>
      </c>
      <c r="K323">
        <f t="shared" ref="K323:K386" ca="1" si="22">(F323-I323)^2</f>
        <v>0.33223550210121217</v>
      </c>
      <c r="L323">
        <f t="shared" ref="L323:L386" si="23">(F323+5.03559)^2</f>
        <v>8.1061987998147984</v>
      </c>
      <c r="M323">
        <v>2.2567085658263988</v>
      </c>
    </row>
    <row r="324" spans="1:13" x14ac:dyDescent="0.3">
      <c r="A324">
        <v>915</v>
      </c>
      <c r="B324" t="s">
        <v>467</v>
      </c>
      <c r="C324" t="s">
        <v>468</v>
      </c>
      <c r="D324">
        <v>298.14999999999998</v>
      </c>
      <c r="E324" s="1">
        <v>1E-10</v>
      </c>
      <c r="F324">
        <v>-10</v>
      </c>
      <c r="G324" t="s">
        <v>72</v>
      </c>
      <c r="H324" t="s">
        <v>38</v>
      </c>
      <c r="I324">
        <f t="shared" ca="1" si="20"/>
        <v>-8.5909661380904438</v>
      </c>
      <c r="J324">
        <f t="shared" ca="1" si="21"/>
        <v>2.5646839969491696E-9</v>
      </c>
      <c r="K324">
        <f t="shared" ca="1" si="22"/>
        <v>1.985376424007758</v>
      </c>
      <c r="L324">
        <f t="shared" si="23"/>
        <v>24.645366648100001</v>
      </c>
      <c r="M324">
        <v>2.2567085658263988</v>
      </c>
    </row>
    <row r="325" spans="1:13" x14ac:dyDescent="0.3">
      <c r="A325">
        <v>917</v>
      </c>
      <c r="B325" t="s">
        <v>469</v>
      </c>
      <c r="C325" t="s">
        <v>470</v>
      </c>
      <c r="D325">
        <v>298.14999999999998</v>
      </c>
      <c r="E325" s="1">
        <v>1.6000000000000001E-3</v>
      </c>
      <c r="F325">
        <v>-2.795880017</v>
      </c>
      <c r="G325" t="s">
        <v>308</v>
      </c>
      <c r="H325" t="s">
        <v>11</v>
      </c>
      <c r="I325">
        <f t="shared" ca="1" si="20"/>
        <v>-1.9353266446886912</v>
      </c>
      <c r="J325">
        <f t="shared" ca="1" si="21"/>
        <v>1.1605753851877277E-2</v>
      </c>
      <c r="K325">
        <f t="shared" ca="1" si="22"/>
        <v>0.74055210659636606</v>
      </c>
      <c r="L325">
        <f t="shared" si="23"/>
        <v>5.0163008079498601</v>
      </c>
      <c r="M325">
        <v>2.2567085658263988</v>
      </c>
    </row>
    <row r="326" spans="1:13" x14ac:dyDescent="0.3">
      <c r="A326">
        <v>2000</v>
      </c>
      <c r="B326" t="s">
        <v>471</v>
      </c>
      <c r="C326" t="s">
        <v>472</v>
      </c>
      <c r="D326">
        <v>298.14999999999998</v>
      </c>
      <c r="E326" s="1">
        <v>1.4100000000000001E-5</v>
      </c>
      <c r="F326">
        <v>-4.8510398830000003</v>
      </c>
      <c r="G326" t="s">
        <v>473</v>
      </c>
      <c r="H326" t="s">
        <v>11</v>
      </c>
      <c r="I326">
        <f t="shared" ca="1" si="20"/>
        <v>-4.4812219201449306</v>
      </c>
      <c r="J326">
        <f t="shared" ca="1" si="21"/>
        <v>3.3020076862342295E-5</v>
      </c>
      <c r="K326">
        <f t="shared" ca="1" si="22"/>
        <v>0.13676532565027374</v>
      </c>
      <c r="L326">
        <f t="shared" si="23"/>
        <v>3.4058745684713572E-2</v>
      </c>
      <c r="M326">
        <v>2.2567085658263988</v>
      </c>
    </row>
    <row r="327" spans="1:13" x14ac:dyDescent="0.3">
      <c r="A327">
        <v>2001</v>
      </c>
      <c r="B327" t="s">
        <v>474</v>
      </c>
      <c r="C327" t="s">
        <v>475</v>
      </c>
      <c r="D327">
        <v>298.14999999999998</v>
      </c>
      <c r="E327" s="1">
        <v>8.1999999999999994E-6</v>
      </c>
      <c r="F327">
        <v>-5.086338509</v>
      </c>
      <c r="G327" t="s">
        <v>14</v>
      </c>
      <c r="H327" t="s">
        <v>11</v>
      </c>
      <c r="I327">
        <f t="shared" ca="1" si="20"/>
        <v>-4.1569249986251835</v>
      </c>
      <c r="J327">
        <f t="shared" ca="1" si="21"/>
        <v>6.9674682984182621E-5</v>
      </c>
      <c r="K327">
        <f t="shared" ca="1" si="22"/>
        <v>0.863809473267239</v>
      </c>
      <c r="L327">
        <f t="shared" si="23"/>
        <v>2.5754111657230751E-3</v>
      </c>
      <c r="M327">
        <v>2.2567085658263988</v>
      </c>
    </row>
    <row r="328" spans="1:13" x14ac:dyDescent="0.3">
      <c r="A328">
        <v>2003</v>
      </c>
      <c r="B328" t="s">
        <v>476</v>
      </c>
      <c r="C328" t="s">
        <v>477</v>
      </c>
      <c r="D328">
        <v>298.14999999999998</v>
      </c>
      <c r="E328" s="1">
        <v>8.6499999999999998E-7</v>
      </c>
      <c r="F328">
        <v>-6.0631100699999996</v>
      </c>
      <c r="G328" t="s">
        <v>19</v>
      </c>
      <c r="H328" t="s">
        <v>11</v>
      </c>
      <c r="I328">
        <f t="shared" ca="1" si="20"/>
        <v>-5.0918285700715176</v>
      </c>
      <c r="J328">
        <f t="shared" ca="1" si="21"/>
        <v>8.0941533826135602E-6</v>
      </c>
      <c r="K328">
        <f t="shared" ca="1" si="22"/>
        <v>0.94338775210332182</v>
      </c>
      <c r="L328">
        <f t="shared" si="23"/>
        <v>1.0557974942528041</v>
      </c>
      <c r="M328">
        <v>2.2567085658263988</v>
      </c>
    </row>
    <row r="329" spans="1:13" x14ac:dyDescent="0.3">
      <c r="A329">
        <v>2004</v>
      </c>
      <c r="B329" t="s">
        <v>478</v>
      </c>
      <c r="C329" t="s">
        <v>479</v>
      </c>
      <c r="D329">
        <v>298.14999999999998</v>
      </c>
      <c r="E329" s="1">
        <v>5.5799999999999999E-7</v>
      </c>
      <c r="F329">
        <v>-6.2532532830000003</v>
      </c>
      <c r="G329" t="s">
        <v>10</v>
      </c>
      <c r="H329" t="s">
        <v>11</v>
      </c>
      <c r="I329">
        <f t="shared" ca="1" si="20"/>
        <v>-4.9887614284944402</v>
      </c>
      <c r="J329">
        <f t="shared" ca="1" si="21"/>
        <v>1.0262155036280986E-5</v>
      </c>
      <c r="K329">
        <f t="shared" ca="1" si="22"/>
        <v>1.5989396501109105</v>
      </c>
      <c r="L329">
        <f t="shared" si="23"/>
        <v>1.4827038707663387</v>
      </c>
      <c r="M329">
        <v>2.2567085658263988</v>
      </c>
    </row>
    <row r="330" spans="1:13" x14ac:dyDescent="0.3">
      <c r="A330">
        <v>2005</v>
      </c>
      <c r="B330" t="s">
        <v>480</v>
      </c>
      <c r="C330" t="s">
        <v>479</v>
      </c>
      <c r="D330">
        <v>298.14999999999998</v>
      </c>
      <c r="E330" s="1">
        <v>2.0600000000000002E-6</v>
      </c>
      <c r="F330">
        <v>-5.6857842759999997</v>
      </c>
      <c r="G330" t="s">
        <v>10</v>
      </c>
      <c r="H330" t="s">
        <v>11</v>
      </c>
      <c r="I330">
        <f t="shared" ca="1" si="20"/>
        <v>-5.065876436965616</v>
      </c>
      <c r="J330">
        <f t="shared" ca="1" si="21"/>
        <v>8.5925795799413351E-6</v>
      </c>
      <c r="K330">
        <f t="shared" ca="1" si="22"/>
        <v>0.38428572889627943</v>
      </c>
      <c r="L330">
        <f t="shared" si="23"/>
        <v>0.42275259654316377</v>
      </c>
      <c r="M330">
        <v>2.2567085658263988</v>
      </c>
    </row>
    <row r="331" spans="1:13" x14ac:dyDescent="0.3">
      <c r="A331">
        <v>2006</v>
      </c>
      <c r="B331" t="s">
        <v>481</v>
      </c>
      <c r="C331" t="s">
        <v>482</v>
      </c>
      <c r="D331">
        <v>298.14999999999998</v>
      </c>
      <c r="E331" s="1">
        <v>3.4900000000000001E-9</v>
      </c>
      <c r="F331">
        <v>-8.457685004</v>
      </c>
      <c r="G331" t="s">
        <v>19</v>
      </c>
      <c r="H331" t="s">
        <v>11</v>
      </c>
      <c r="I331">
        <f t="shared" ca="1" si="20"/>
        <v>-7.6256316233095554</v>
      </c>
      <c r="J331">
        <f t="shared" ca="1" si="21"/>
        <v>2.3679273661097765E-8</v>
      </c>
      <c r="K331">
        <f t="shared" ca="1" si="22"/>
        <v>0.69231282831839802</v>
      </c>
      <c r="L331">
        <f t="shared" si="23"/>
        <v>11.710734216401759</v>
      </c>
      <c r="M331">
        <v>2.2567085658263988</v>
      </c>
    </row>
    <row r="332" spans="1:13" x14ac:dyDescent="0.3">
      <c r="A332">
        <v>2007</v>
      </c>
      <c r="B332" t="s">
        <v>483</v>
      </c>
      <c r="C332" t="s">
        <v>484</v>
      </c>
      <c r="D332">
        <v>298.14999999999998</v>
      </c>
      <c r="E332" s="1">
        <v>1.3000000000000001E-9</v>
      </c>
      <c r="F332">
        <v>-8.8871830739999993</v>
      </c>
      <c r="G332" t="s">
        <v>19</v>
      </c>
      <c r="H332" t="s">
        <v>11</v>
      </c>
      <c r="I332">
        <f t="shared" ca="1" si="20"/>
        <v>-8.0288714002518304</v>
      </c>
      <c r="J332">
        <f t="shared" ca="1" si="21"/>
        <v>9.3568269987775297E-9</v>
      </c>
      <c r="K332">
        <f t="shared" ca="1" si="22"/>
        <v>0.73669892929238301</v>
      </c>
      <c r="L332">
        <f t="shared" si="23"/>
        <v>14.834769207684763</v>
      </c>
      <c r="M332">
        <v>2.2567085658263988</v>
      </c>
    </row>
    <row r="333" spans="1:13" x14ac:dyDescent="0.3">
      <c r="A333">
        <v>2008</v>
      </c>
      <c r="B333" t="s">
        <v>485</v>
      </c>
      <c r="C333" t="s">
        <v>486</v>
      </c>
      <c r="D333">
        <v>298.14999999999998</v>
      </c>
      <c r="E333" s="1">
        <v>1.11E-8</v>
      </c>
      <c r="F333">
        <v>-7.9538621320000003</v>
      </c>
      <c r="G333" t="s">
        <v>266</v>
      </c>
      <c r="H333" t="s">
        <v>66</v>
      </c>
      <c r="I333">
        <f t="shared" ca="1" si="20"/>
        <v>-7.3386890806738663</v>
      </c>
      <c r="J333">
        <f t="shared" ca="1" si="21"/>
        <v>4.5846999626771211E-8</v>
      </c>
      <c r="K333">
        <f t="shared" ca="1" si="22"/>
        <v>0.37843788307790627</v>
      </c>
      <c r="L333">
        <f t="shared" si="23"/>
        <v>8.5163122364078276</v>
      </c>
      <c r="M333">
        <v>2.2567085658263988</v>
      </c>
    </row>
    <row r="334" spans="1:13" x14ac:dyDescent="0.3">
      <c r="A334">
        <v>2009</v>
      </c>
      <c r="B334" t="s">
        <v>487</v>
      </c>
      <c r="C334" t="s">
        <v>488</v>
      </c>
      <c r="D334">
        <v>298.14999999999998</v>
      </c>
      <c r="E334" s="1">
        <v>7.4800000000000002E-5</v>
      </c>
      <c r="F334">
        <v>-4.1261744470000004</v>
      </c>
      <c r="G334" t="s">
        <v>14</v>
      </c>
      <c r="H334" t="s">
        <v>20</v>
      </c>
      <c r="I334">
        <f t="shared" ca="1" si="20"/>
        <v>-3.4379360983020582</v>
      </c>
      <c r="J334">
        <f t="shared" ca="1" si="21"/>
        <v>3.6480762044066047E-4</v>
      </c>
      <c r="K334">
        <f t="shared" ca="1" si="22"/>
        <v>0.4736720246184703</v>
      </c>
      <c r="L334">
        <f t="shared" si="23"/>
        <v>0.82703664803829513</v>
      </c>
      <c r="M334">
        <v>2.2567085658263988</v>
      </c>
    </row>
    <row r="335" spans="1:13" x14ac:dyDescent="0.3">
      <c r="A335">
        <v>2010</v>
      </c>
      <c r="B335" t="s">
        <v>489</v>
      </c>
      <c r="C335" t="s">
        <v>490</v>
      </c>
      <c r="D335">
        <v>298.14999999999998</v>
      </c>
      <c r="E335" s="1">
        <v>1.9600000000000001E-7</v>
      </c>
      <c r="F335">
        <v>-6.7085044079999996</v>
      </c>
      <c r="G335" t="s">
        <v>348</v>
      </c>
      <c r="H335" t="s">
        <v>66</v>
      </c>
      <c r="I335">
        <f t="shared" ca="1" si="20"/>
        <v>-5.8610464925214831</v>
      </c>
      <c r="J335">
        <f t="shared" ca="1" si="21"/>
        <v>1.377062042398074E-6</v>
      </c>
      <c r="K335">
        <f t="shared" ca="1" si="22"/>
        <v>0.71818491850719235</v>
      </c>
      <c r="L335">
        <f t="shared" si="23"/>
        <v>2.7986426164939888</v>
      </c>
      <c r="M335">
        <v>2.2567085658263988</v>
      </c>
    </row>
    <row r="336" spans="1:13" x14ac:dyDescent="0.3">
      <c r="A336">
        <v>2011</v>
      </c>
      <c r="B336" t="s">
        <v>491</v>
      </c>
      <c r="C336" t="s">
        <v>472</v>
      </c>
      <c r="D336">
        <v>298.14999999999998</v>
      </c>
      <c r="E336" s="1">
        <v>4.6400000000000003E-7</v>
      </c>
      <c r="F336">
        <v>-6.3333470810000003</v>
      </c>
      <c r="G336" t="s">
        <v>473</v>
      </c>
      <c r="H336" t="s">
        <v>11</v>
      </c>
      <c r="I336">
        <f t="shared" ca="1" si="20"/>
        <v>-5.062021298515214</v>
      </c>
      <c r="J336">
        <f t="shared" ca="1" si="21"/>
        <v>8.6691935956540014E-6</v>
      </c>
      <c r="K336">
        <f t="shared" ca="1" si="22"/>
        <v>1.6162692452105543</v>
      </c>
      <c r="L336">
        <f t="shared" si="23"/>
        <v>1.6841734412856413</v>
      </c>
      <c r="M336">
        <v>2.2567085658263988</v>
      </c>
    </row>
    <row r="337" spans="1:13" x14ac:dyDescent="0.3">
      <c r="A337">
        <v>2012</v>
      </c>
      <c r="B337" t="s">
        <v>492</v>
      </c>
      <c r="C337" t="s">
        <v>472</v>
      </c>
      <c r="D337">
        <v>298.14999999999998</v>
      </c>
      <c r="E337" s="1">
        <v>6.5700000000000003E-9</v>
      </c>
      <c r="F337">
        <v>-8.1825166560000007</v>
      </c>
      <c r="G337" t="s">
        <v>473</v>
      </c>
      <c r="H337" t="s">
        <v>11</v>
      </c>
      <c r="I337">
        <f t="shared" ca="1" si="20"/>
        <v>-7.3304442460425818</v>
      </c>
      <c r="J337">
        <f t="shared" ca="1" si="21"/>
        <v>4.6725693294019942E-8</v>
      </c>
      <c r="K337">
        <f t="shared" ca="1" si="22"/>
        <v>0.72602739181064369</v>
      </c>
      <c r="L337">
        <f t="shared" si="23"/>
        <v>9.9031473782433466</v>
      </c>
      <c r="M337">
        <v>2.2567085658263988</v>
      </c>
    </row>
    <row r="338" spans="1:13" x14ac:dyDescent="0.3">
      <c r="A338">
        <v>2013</v>
      </c>
      <c r="B338" t="s">
        <v>493</v>
      </c>
      <c r="C338" t="s">
        <v>472</v>
      </c>
      <c r="D338">
        <v>298.14999999999998</v>
      </c>
      <c r="E338" s="1">
        <v>6.6800000000000005E-11</v>
      </c>
      <c r="F338">
        <v>-10.175300500000001</v>
      </c>
      <c r="G338" t="s">
        <v>473</v>
      </c>
      <c r="H338" t="s">
        <v>11</v>
      </c>
      <c r="I338">
        <f t="shared" ca="1" si="20"/>
        <v>-9.0900054834445623</v>
      </c>
      <c r="J338">
        <f t="shared" ca="1" si="21"/>
        <v>8.1282025335137123E-10</v>
      </c>
      <c r="K338">
        <f t="shared" ca="1" si="22"/>
        <v>1.1778652729600689</v>
      </c>
      <c r="L338">
        <f t="shared" si="23"/>
        <v>26.416624023810254</v>
      </c>
      <c r="M338">
        <v>2.2567085658263988</v>
      </c>
    </row>
    <row r="339" spans="1:13" x14ac:dyDescent="0.3">
      <c r="A339">
        <v>2014</v>
      </c>
      <c r="B339" t="s">
        <v>494</v>
      </c>
      <c r="C339" t="s">
        <v>495</v>
      </c>
      <c r="D339">
        <v>298.14999999999998</v>
      </c>
      <c r="E339" s="1">
        <v>1.0799999999999999E-11</v>
      </c>
      <c r="F339">
        <v>-10.9652893</v>
      </c>
      <c r="G339" t="s">
        <v>496</v>
      </c>
      <c r="H339" t="s">
        <v>11</v>
      </c>
      <c r="I339">
        <f t="shared" ca="1" si="20"/>
        <v>-9.9341055822034701</v>
      </c>
      <c r="J339">
        <f t="shared" ca="1" si="21"/>
        <v>1.1638430507932946E-10</v>
      </c>
      <c r="K339">
        <f t="shared" ca="1" si="22"/>
        <v>1.0633398598486741</v>
      </c>
      <c r="L339">
        <f t="shared" si="23"/>
        <v>35.161333788420492</v>
      </c>
      <c r="M339">
        <v>2.2567085658263988</v>
      </c>
    </row>
    <row r="340" spans="1:13" x14ac:dyDescent="0.3">
      <c r="A340">
        <v>2015</v>
      </c>
      <c r="B340" t="s">
        <v>497</v>
      </c>
      <c r="C340" t="s">
        <v>495</v>
      </c>
      <c r="D340">
        <v>298.14999999999998</v>
      </c>
      <c r="E340" s="1">
        <v>3.1500000000000001E-11</v>
      </c>
      <c r="F340">
        <v>-10.502282259999999</v>
      </c>
      <c r="G340" t="s">
        <v>496</v>
      </c>
      <c r="H340" t="s">
        <v>11</v>
      </c>
      <c r="I340">
        <f t="shared" ca="1" si="20"/>
        <v>-9.2304884341605398</v>
      </c>
      <c r="J340">
        <f t="shared" ca="1" si="21"/>
        <v>5.8818177799721438E-10</v>
      </c>
      <c r="K340">
        <f t="shared" ca="1" si="22"/>
        <v>1.6174595354433698</v>
      </c>
      <c r="L340">
        <f t="shared" si="23"/>
        <v>29.884724265543902</v>
      </c>
      <c r="M340">
        <v>2.2567085658263988</v>
      </c>
    </row>
    <row r="341" spans="1:13" x14ac:dyDescent="0.3">
      <c r="A341">
        <v>2016</v>
      </c>
      <c r="B341" t="s">
        <v>498</v>
      </c>
      <c r="C341" t="s">
        <v>495</v>
      </c>
      <c r="D341">
        <v>298.14999999999998</v>
      </c>
      <c r="E341" s="1">
        <v>2.35E-11</v>
      </c>
      <c r="F341">
        <v>-10.62874643</v>
      </c>
      <c r="G341" t="s">
        <v>496</v>
      </c>
      <c r="H341" t="s">
        <v>11</v>
      </c>
      <c r="I341">
        <f t="shared" ca="1" si="20"/>
        <v>-9.1778371308976254</v>
      </c>
      <c r="J341">
        <f t="shared" ca="1" si="21"/>
        <v>6.6399203398666225E-10</v>
      </c>
      <c r="K341">
        <f t="shared" ca="1" si="22"/>
        <v>2.1051377942217426</v>
      </c>
      <c r="L341">
        <f t="shared" si="23"/>
        <v>31.28339885045034</v>
      </c>
      <c r="M341">
        <v>2.2567085658263988</v>
      </c>
    </row>
    <row r="342" spans="1:13" x14ac:dyDescent="0.3">
      <c r="A342">
        <v>2017</v>
      </c>
      <c r="B342" t="s">
        <v>499</v>
      </c>
      <c r="C342" t="s">
        <v>500</v>
      </c>
      <c r="D342">
        <v>298.14999999999998</v>
      </c>
      <c r="E342" s="1">
        <v>3.2499999999999998E-6</v>
      </c>
      <c r="F342">
        <v>-5.4879048250000002</v>
      </c>
      <c r="G342" t="s">
        <v>260</v>
      </c>
      <c r="H342" t="s">
        <v>11</v>
      </c>
      <c r="I342">
        <f t="shared" ca="1" si="20"/>
        <v>-4.722036430519946</v>
      </c>
      <c r="J342">
        <f t="shared" ca="1" si="21"/>
        <v>1.8965468238987584E-5</v>
      </c>
      <c r="K342">
        <f t="shared" ca="1" si="22"/>
        <v>0.58655439766345585</v>
      </c>
      <c r="L342">
        <f t="shared" si="23"/>
        <v>0.20458870091478079</v>
      </c>
      <c r="M342">
        <v>2.2567085658263988</v>
      </c>
    </row>
    <row r="343" spans="1:13" x14ac:dyDescent="0.3">
      <c r="A343">
        <v>2018</v>
      </c>
      <c r="B343" t="s">
        <v>501</v>
      </c>
      <c r="C343" t="s">
        <v>500</v>
      </c>
      <c r="D343">
        <v>298.14999999999998</v>
      </c>
      <c r="E343" s="1">
        <v>1.61E-6</v>
      </c>
      <c r="F343">
        <v>-5.7923598749999998</v>
      </c>
      <c r="G343" t="s">
        <v>260</v>
      </c>
      <c r="H343" t="s">
        <v>11</v>
      </c>
      <c r="I343">
        <f t="shared" ca="1" si="20"/>
        <v>-4.7870612715107104</v>
      </c>
      <c r="J343">
        <f t="shared" ca="1" si="21"/>
        <v>1.6328215684949335E-5</v>
      </c>
      <c r="K343">
        <f t="shared" ca="1" si="22"/>
        <v>1.0106252821775157</v>
      </c>
      <c r="L343">
        <f t="shared" si="23"/>
        <v>0.57270064370751539</v>
      </c>
      <c r="M343">
        <v>2.2567085658263988</v>
      </c>
    </row>
    <row r="344" spans="1:13" x14ac:dyDescent="0.3">
      <c r="A344">
        <v>2019</v>
      </c>
      <c r="B344" t="s">
        <v>502</v>
      </c>
      <c r="C344" t="s">
        <v>500</v>
      </c>
      <c r="D344">
        <v>298.14999999999998</v>
      </c>
      <c r="E344" s="1">
        <v>2.0199999999999999E-8</v>
      </c>
      <c r="F344">
        <v>-7.6953504710000002</v>
      </c>
      <c r="G344" t="s">
        <v>260</v>
      </c>
      <c r="H344" t="s">
        <v>11</v>
      </c>
      <c r="I344">
        <f t="shared" ca="1" si="20"/>
        <v>-6.6127417053544102</v>
      </c>
      <c r="J344">
        <f t="shared" ca="1" si="21"/>
        <v>2.4392611263796088E-7</v>
      </c>
      <c r="K344">
        <f t="shared" ca="1" si="22"/>
        <v>1.1720417394526681</v>
      </c>
      <c r="L344">
        <f t="shared" si="23"/>
        <v>7.0743257630941434</v>
      </c>
      <c r="M344">
        <v>2.2567085658263988</v>
      </c>
    </row>
    <row r="345" spans="1:13" x14ac:dyDescent="0.3">
      <c r="A345">
        <v>2020</v>
      </c>
      <c r="B345" t="s">
        <v>503</v>
      </c>
      <c r="C345" t="s">
        <v>500</v>
      </c>
      <c r="D345">
        <v>298.14999999999998</v>
      </c>
      <c r="E345" s="1">
        <v>5.5400000000000001E-7</v>
      </c>
      <c r="F345">
        <v>-6.2563531499999998</v>
      </c>
      <c r="G345" t="s">
        <v>260</v>
      </c>
      <c r="H345" t="s">
        <v>11</v>
      </c>
      <c r="I345">
        <f t="shared" ca="1" si="20"/>
        <v>-5.5799619316972917</v>
      </c>
      <c r="J345">
        <f t="shared" ca="1" si="21"/>
        <v>2.6304985594731082E-6</v>
      </c>
      <c r="K345">
        <f t="shared" ca="1" si="22"/>
        <v>0.45750508019702174</v>
      </c>
      <c r="L345">
        <f t="shared" si="23"/>
        <v>1.4902626683979221</v>
      </c>
      <c r="M345">
        <v>2.2567085658263988</v>
      </c>
    </row>
    <row r="346" spans="1:13" x14ac:dyDescent="0.3">
      <c r="A346">
        <v>2021</v>
      </c>
      <c r="B346" t="s">
        <v>504</v>
      </c>
      <c r="C346" t="s">
        <v>322</v>
      </c>
      <c r="D346">
        <v>298.14999999999998</v>
      </c>
      <c r="E346" s="1">
        <v>6.0699999999999997E-7</v>
      </c>
      <c r="F346">
        <v>-6.216929275</v>
      </c>
      <c r="G346" t="s">
        <v>41</v>
      </c>
      <c r="H346" t="s">
        <v>11</v>
      </c>
      <c r="I346">
        <f t="shared" ca="1" si="20"/>
        <v>-5.4032839356978402</v>
      </c>
      <c r="J346">
        <f t="shared" ca="1" si="21"/>
        <v>3.9510821934406658E-6</v>
      </c>
      <c r="K346">
        <f t="shared" ca="1" si="22"/>
        <v>0.66201873816812684</v>
      </c>
      <c r="L346">
        <f t="shared" si="23"/>
        <v>1.3955624826575257</v>
      </c>
      <c r="M346">
        <v>2.2567085658263988</v>
      </c>
    </row>
    <row r="347" spans="1:13" x14ac:dyDescent="0.3">
      <c r="A347">
        <v>2022</v>
      </c>
      <c r="B347" t="s">
        <v>505</v>
      </c>
      <c r="C347" t="s">
        <v>506</v>
      </c>
      <c r="D347">
        <v>298.14999999999998</v>
      </c>
      <c r="E347" s="1">
        <v>3.1899999999999999E-9</v>
      </c>
      <c r="F347">
        <v>-8.4964436390000007</v>
      </c>
      <c r="G347" t="s">
        <v>260</v>
      </c>
      <c r="H347" t="s">
        <v>11</v>
      </c>
      <c r="I347">
        <f t="shared" ca="1" si="20"/>
        <v>-7.3005544338054591</v>
      </c>
      <c r="J347">
        <f t="shared" ca="1" si="21"/>
        <v>5.0054781070066222E-8</v>
      </c>
      <c r="K347">
        <f t="shared" ca="1" si="22"/>
        <v>1.4301509911008323</v>
      </c>
      <c r="L347">
        <f t="shared" si="23"/>
        <v>11.977507910579547</v>
      </c>
      <c r="M347">
        <v>2.2567085658263988</v>
      </c>
    </row>
    <row r="348" spans="1:13" x14ac:dyDescent="0.3">
      <c r="A348">
        <v>2023</v>
      </c>
      <c r="B348" t="s">
        <v>507</v>
      </c>
      <c r="C348" t="s">
        <v>506</v>
      </c>
      <c r="D348">
        <v>298.14999999999998</v>
      </c>
      <c r="E348" s="1">
        <v>5.3499999999999996E-12</v>
      </c>
      <c r="F348">
        <v>-11.2712539</v>
      </c>
      <c r="G348" t="s">
        <v>508</v>
      </c>
      <c r="H348" t="s">
        <v>11</v>
      </c>
      <c r="I348">
        <f t="shared" ca="1" si="20"/>
        <v>-9.975743082117269</v>
      </c>
      <c r="J348">
        <f t="shared" ca="1" si="21"/>
        <v>1.0574428812939678E-10</v>
      </c>
      <c r="K348">
        <f t="shared" ca="1" si="22"/>
        <v>1.6783482792511815</v>
      </c>
      <c r="L348">
        <f t="shared" si="23"/>
        <v>38.883504273763208</v>
      </c>
      <c r="M348">
        <v>2.2567085658263988</v>
      </c>
    </row>
    <row r="349" spans="1:13" x14ac:dyDescent="0.3">
      <c r="A349">
        <v>2024</v>
      </c>
      <c r="B349" t="s">
        <v>509</v>
      </c>
      <c r="C349" t="s">
        <v>506</v>
      </c>
      <c r="D349">
        <v>298.14999999999998</v>
      </c>
      <c r="E349" s="1">
        <v>5.8900000000000003E-10</v>
      </c>
      <c r="F349">
        <v>-9.2298248219999994</v>
      </c>
      <c r="G349" t="s">
        <v>508</v>
      </c>
      <c r="H349" t="s">
        <v>11</v>
      </c>
      <c r="I349">
        <f t="shared" ca="1" si="20"/>
        <v>-7.7534686251235332</v>
      </c>
      <c r="J349">
        <f t="shared" ca="1" si="21"/>
        <v>1.7641332067177299E-8</v>
      </c>
      <c r="K349">
        <f t="shared" ca="1" si="22"/>
        <v>2.1796276200555433</v>
      </c>
      <c r="L349">
        <f t="shared" si="23"/>
        <v>17.591605742077366</v>
      </c>
      <c r="M349">
        <v>2.2567085658263988</v>
      </c>
    </row>
    <row r="350" spans="1:13" x14ac:dyDescent="0.3">
      <c r="A350">
        <v>2025</v>
      </c>
      <c r="B350" t="s">
        <v>510</v>
      </c>
      <c r="C350" t="s">
        <v>511</v>
      </c>
      <c r="D350">
        <v>298.14999999999998</v>
      </c>
      <c r="E350" s="1">
        <v>8.9700000000000003E-8</v>
      </c>
      <c r="F350">
        <v>-7.0470427310000003</v>
      </c>
      <c r="G350" t="s">
        <v>348</v>
      </c>
      <c r="H350" t="s">
        <v>346</v>
      </c>
      <c r="I350">
        <f t="shared" ca="1" si="20"/>
        <v>-6.3743923308970123</v>
      </c>
      <c r="J350">
        <f t="shared" ca="1" si="21"/>
        <v>4.2228695830519876E-7</v>
      </c>
      <c r="K350">
        <f t="shared" ca="1" si="22"/>
        <v>0.45245856075870988</v>
      </c>
      <c r="L350">
        <f t="shared" si="23"/>
        <v>4.0459420890473599</v>
      </c>
      <c r="M350">
        <v>2.2567085658263988</v>
      </c>
    </row>
    <row r="351" spans="1:13" x14ac:dyDescent="0.3">
      <c r="A351">
        <v>2026</v>
      </c>
      <c r="B351" t="s">
        <v>512</v>
      </c>
      <c r="C351" t="s">
        <v>403</v>
      </c>
      <c r="D351">
        <v>298.14999999999998</v>
      </c>
      <c r="E351" s="1">
        <v>1.0699999999999999E-6</v>
      </c>
      <c r="F351">
        <v>-5.9714125490000001</v>
      </c>
      <c r="G351" t="s">
        <v>57</v>
      </c>
      <c r="H351" t="s">
        <v>20</v>
      </c>
      <c r="I351">
        <f t="shared" ca="1" si="20"/>
        <v>-5.4601538713958444</v>
      </c>
      <c r="J351">
        <f t="shared" ca="1" si="21"/>
        <v>3.4661402265942645E-6</v>
      </c>
      <c r="K351">
        <f t="shared" ca="1" si="22"/>
        <v>0.26138543542554998</v>
      </c>
      <c r="L351">
        <f t="shared" si="23"/>
        <v>0.87576384321685752</v>
      </c>
      <c r="M351">
        <v>2.2567085658263988</v>
      </c>
    </row>
    <row r="352" spans="1:13" x14ac:dyDescent="0.3">
      <c r="A352">
        <v>2027</v>
      </c>
      <c r="B352" t="s">
        <v>513</v>
      </c>
      <c r="C352" t="s">
        <v>440</v>
      </c>
      <c r="D352">
        <v>298.14999999999998</v>
      </c>
      <c r="E352">
        <v>2.21356E-4</v>
      </c>
      <c r="F352">
        <v>-3.6549094090000001</v>
      </c>
      <c r="G352" t="s">
        <v>57</v>
      </c>
      <c r="H352" t="s">
        <v>20</v>
      </c>
      <c r="I352">
        <f t="shared" ca="1" si="20"/>
        <v>-3.2433259410667019</v>
      </c>
      <c r="J352">
        <f t="shared" ca="1" si="21"/>
        <v>5.7104989883655143E-4</v>
      </c>
      <c r="K352">
        <f t="shared" ca="1" si="22"/>
        <v>0.16940095107600026</v>
      </c>
      <c r="L352">
        <f t="shared" si="23"/>
        <v>1.9062788943641091</v>
      </c>
      <c r="M352">
        <v>2.2567085658263988</v>
      </c>
    </row>
    <row r="353" spans="1:13" x14ac:dyDescent="0.3">
      <c r="A353">
        <v>2028</v>
      </c>
      <c r="B353" t="s">
        <v>514</v>
      </c>
      <c r="C353" t="s">
        <v>440</v>
      </c>
      <c r="D353">
        <v>298.14999999999998</v>
      </c>
      <c r="E353">
        <v>1.830655E-3</v>
      </c>
      <c r="F353">
        <v>-2.7373935509999998</v>
      </c>
      <c r="G353" t="s">
        <v>57</v>
      </c>
      <c r="H353" t="s">
        <v>20</v>
      </c>
      <c r="I353">
        <f t="shared" ca="1" si="20"/>
        <v>-1.7816060745913158</v>
      </c>
      <c r="J353">
        <f t="shared" ca="1" si="21"/>
        <v>1.6534608846164759E-2</v>
      </c>
      <c r="K353">
        <f t="shared" ca="1" si="22"/>
        <v>0.9135297000596807</v>
      </c>
      <c r="L353">
        <f t="shared" si="23"/>
        <v>5.2817069181962104</v>
      </c>
      <c r="M353">
        <v>2.2567085658263988</v>
      </c>
    </row>
    <row r="354" spans="1:13" x14ac:dyDescent="0.3">
      <c r="A354">
        <v>2029</v>
      </c>
      <c r="B354" t="s">
        <v>515</v>
      </c>
      <c r="C354" t="s">
        <v>511</v>
      </c>
      <c r="D354">
        <v>298.14999999999998</v>
      </c>
      <c r="E354" s="1">
        <v>2.69E-10</v>
      </c>
      <c r="F354">
        <v>-9.569675406</v>
      </c>
      <c r="G354" t="s">
        <v>348</v>
      </c>
      <c r="H354" t="s">
        <v>346</v>
      </c>
      <c r="I354">
        <f t="shared" ca="1" si="20"/>
        <v>-8.8422314141233684</v>
      </c>
      <c r="J354">
        <f t="shared" ca="1" si="21"/>
        <v>1.4380321176334336E-9</v>
      </c>
      <c r="K354">
        <f t="shared" ca="1" si="22"/>
        <v>0.52917476131740881</v>
      </c>
      <c r="L354">
        <f t="shared" si="23"/>
        <v>20.557930468902185</v>
      </c>
      <c r="M354">
        <v>2.2567085658263988</v>
      </c>
    </row>
    <row r="355" spans="1:13" x14ac:dyDescent="0.3">
      <c r="A355">
        <v>2030</v>
      </c>
      <c r="B355" t="s">
        <v>516</v>
      </c>
      <c r="C355" t="s">
        <v>511</v>
      </c>
      <c r="D355">
        <v>298.14999999999998</v>
      </c>
      <c r="E355" s="1">
        <v>1.5099999999999999E-6</v>
      </c>
      <c r="F355">
        <v>-5.8218212950000003</v>
      </c>
      <c r="G355" t="s">
        <v>348</v>
      </c>
      <c r="H355" t="s">
        <v>346</v>
      </c>
      <c r="I355">
        <f t="shared" ca="1" si="20"/>
        <v>-4.7820615119035512</v>
      </c>
      <c r="J355">
        <f t="shared" ca="1" si="21"/>
        <v>1.6517278368890392E-5</v>
      </c>
      <c r="K355">
        <f t="shared" ca="1" si="22"/>
        <v>1.0811004065447749</v>
      </c>
      <c r="L355">
        <f t="shared" si="23"/>
        <v>0.61815964923737754</v>
      </c>
      <c r="M355">
        <v>2.2567085658263988</v>
      </c>
    </row>
    <row r="356" spans="1:13" x14ac:dyDescent="0.3">
      <c r="A356">
        <v>2031</v>
      </c>
      <c r="B356" t="s">
        <v>517</v>
      </c>
      <c r="C356" t="s">
        <v>518</v>
      </c>
      <c r="D356">
        <v>298.14999999999998</v>
      </c>
      <c r="E356" s="1">
        <v>1.1799999999999999E-14</v>
      </c>
      <c r="F356">
        <v>-13.92960042</v>
      </c>
      <c r="G356" t="s">
        <v>348</v>
      </c>
      <c r="H356" t="s">
        <v>346</v>
      </c>
      <c r="I356">
        <f t="shared" ca="1" si="20"/>
        <v>-12.487733011026652</v>
      </c>
      <c r="J356">
        <f t="shared" ca="1" si="21"/>
        <v>3.2528721106620764E-13</v>
      </c>
      <c r="K356">
        <f t="shared" ca="1" si="22"/>
        <v>2.0789816250595154</v>
      </c>
      <c r="L356">
        <f t="shared" si="23"/>
        <v>79.10342135106859</v>
      </c>
      <c r="M356">
        <v>2.2567085658263988</v>
      </c>
    </row>
    <row r="357" spans="1:13" x14ac:dyDescent="0.3">
      <c r="A357">
        <v>499</v>
      </c>
      <c r="B357" t="s">
        <v>519</v>
      </c>
      <c r="C357" t="s">
        <v>520</v>
      </c>
      <c r="D357">
        <v>298.51</v>
      </c>
      <c r="E357" s="1">
        <v>5.3700000000000004E-4</v>
      </c>
      <c r="F357">
        <v>-3.270025714</v>
      </c>
      <c r="G357" t="s">
        <v>72</v>
      </c>
      <c r="H357" t="s">
        <v>66</v>
      </c>
      <c r="I357">
        <f t="shared" ca="1" si="20"/>
        <v>-2.447251113681963</v>
      </c>
      <c r="J357">
        <f t="shared" ca="1" si="21"/>
        <v>3.5706631891397138E-3</v>
      </c>
      <c r="K357">
        <f t="shared" ca="1" si="22"/>
        <v>0.67695804292850548</v>
      </c>
      <c r="L357">
        <f t="shared" si="23"/>
        <v>3.1172172479986897</v>
      </c>
      <c r="M357">
        <v>2.2567085658263988</v>
      </c>
    </row>
    <row r="358" spans="1:13" x14ac:dyDescent="0.3">
      <c r="A358">
        <v>3</v>
      </c>
      <c r="B358" t="s">
        <v>521</v>
      </c>
      <c r="C358" t="s">
        <v>36</v>
      </c>
      <c r="D358">
        <v>299.14999999999998</v>
      </c>
      <c r="E358" s="1">
        <v>8.9000000000000003E-8</v>
      </c>
      <c r="F358">
        <v>-7.0506099930000001</v>
      </c>
      <c r="G358" t="s">
        <v>37</v>
      </c>
      <c r="H358" t="s">
        <v>38</v>
      </c>
      <c r="I358">
        <f t="shared" ca="1" si="20"/>
        <v>-6.3519153321623252</v>
      </c>
      <c r="J358">
        <f t="shared" ca="1" si="21"/>
        <v>4.4471795896397975E-7</v>
      </c>
      <c r="K358">
        <f t="shared" ca="1" si="22"/>
        <v>0.48817422908307362</v>
      </c>
      <c r="L358">
        <f t="shared" si="23"/>
        <v>4.0603055721897201</v>
      </c>
      <c r="M358">
        <v>2.2567085658263988</v>
      </c>
    </row>
    <row r="359" spans="1:13" x14ac:dyDescent="0.3">
      <c r="A359">
        <v>4</v>
      </c>
      <c r="B359" t="s">
        <v>522</v>
      </c>
      <c r="C359" t="s">
        <v>36</v>
      </c>
      <c r="D359">
        <v>299.14999999999998</v>
      </c>
      <c r="E359" s="1">
        <v>8.05E-8</v>
      </c>
      <c r="F359">
        <v>-7.0942041199999997</v>
      </c>
      <c r="G359" t="s">
        <v>37</v>
      </c>
      <c r="H359" t="s">
        <v>38</v>
      </c>
      <c r="I359">
        <f t="shared" ca="1" si="20"/>
        <v>-5.9409987476108812</v>
      </c>
      <c r="J359">
        <f t="shared" ca="1" si="21"/>
        <v>1.1455162448032133E-6</v>
      </c>
      <c r="K359">
        <f t="shared" ca="1" si="22"/>
        <v>1.3298826309071254</v>
      </c>
      <c r="L359">
        <f t="shared" si="23"/>
        <v>4.2378920950633727</v>
      </c>
      <c r="M359">
        <v>2.2567085658263988</v>
      </c>
    </row>
    <row r="360" spans="1:13" x14ac:dyDescent="0.3">
      <c r="A360">
        <v>5</v>
      </c>
      <c r="B360" t="s">
        <v>523</v>
      </c>
      <c r="C360" t="s">
        <v>36</v>
      </c>
      <c r="D360">
        <v>299.14999999999998</v>
      </c>
      <c r="E360" s="1">
        <v>7.1099999999999995E-8</v>
      </c>
      <c r="F360">
        <v>-7.1481303990000002</v>
      </c>
      <c r="G360" t="s">
        <v>37</v>
      </c>
      <c r="H360" t="s">
        <v>38</v>
      </c>
      <c r="I360">
        <f t="shared" ca="1" si="20"/>
        <v>-6.5308329498839539</v>
      </c>
      <c r="J360">
        <f t="shared" ca="1" si="21"/>
        <v>2.9455544149084828E-7</v>
      </c>
      <c r="K360">
        <f t="shared" ca="1" si="22"/>
        <v>0.38105614068517779</v>
      </c>
      <c r="L360">
        <f t="shared" si="23"/>
        <v>4.4628269374070806</v>
      </c>
      <c r="M360">
        <v>2.2567085658263988</v>
      </c>
    </row>
    <row r="361" spans="1:13" x14ac:dyDescent="0.3">
      <c r="A361">
        <v>6</v>
      </c>
      <c r="B361" t="s">
        <v>524</v>
      </c>
      <c r="C361" t="s">
        <v>36</v>
      </c>
      <c r="D361">
        <v>299.14999999999998</v>
      </c>
      <c r="E361" s="1">
        <v>7.3E-9</v>
      </c>
      <c r="F361">
        <v>-8.1366771399999998</v>
      </c>
      <c r="G361" t="s">
        <v>37</v>
      </c>
      <c r="H361" t="s">
        <v>38</v>
      </c>
      <c r="I361">
        <f t="shared" ca="1" si="20"/>
        <v>-7.2848590428287912</v>
      </c>
      <c r="J361">
        <f t="shared" ca="1" si="21"/>
        <v>5.189684510496851E-8</v>
      </c>
      <c r="K361">
        <f t="shared" ca="1" si="22"/>
        <v>0.72559407066837855</v>
      </c>
      <c r="L361">
        <f t="shared" si="23"/>
        <v>9.6167414498733788</v>
      </c>
      <c r="M361">
        <v>2.2567085658263988</v>
      </c>
    </row>
    <row r="362" spans="1:13" x14ac:dyDescent="0.3">
      <c r="A362">
        <v>589</v>
      </c>
      <c r="B362" t="s">
        <v>525</v>
      </c>
      <c r="C362" t="s">
        <v>274</v>
      </c>
      <c r="D362">
        <v>299.44</v>
      </c>
      <c r="E362" s="1">
        <v>1.8100000000000001E-4</v>
      </c>
      <c r="F362">
        <v>-3.7423214250000001</v>
      </c>
      <c r="G362" t="s">
        <v>19</v>
      </c>
      <c r="H362" t="s">
        <v>20</v>
      </c>
      <c r="I362">
        <f t="shared" ca="1" si="20"/>
        <v>-3.4649833085610813</v>
      </c>
      <c r="J362">
        <f t="shared" ca="1" si="21"/>
        <v>3.4278096055108669E-4</v>
      </c>
      <c r="K362">
        <f t="shared" ca="1" si="22"/>
        <v>7.6916430829887292E-2</v>
      </c>
      <c r="L362">
        <f t="shared" si="23"/>
        <v>1.6725436070825304</v>
      </c>
      <c r="M362">
        <v>2.2567085658263988</v>
      </c>
    </row>
    <row r="363" spans="1:13" x14ac:dyDescent="0.3">
      <c r="A363">
        <v>829</v>
      </c>
      <c r="B363" t="s">
        <v>110</v>
      </c>
      <c r="C363" t="s">
        <v>526</v>
      </c>
      <c r="D363">
        <v>299.73</v>
      </c>
      <c r="E363" s="1">
        <v>4.4299999999999999E-3</v>
      </c>
      <c r="F363">
        <v>-2.353596274</v>
      </c>
      <c r="G363" t="s">
        <v>14</v>
      </c>
      <c r="H363" t="s">
        <v>11</v>
      </c>
      <c r="I363">
        <f t="shared" ca="1" si="20"/>
        <v>-1.4948028151154062</v>
      </c>
      <c r="J363">
        <f t="shared" ca="1" si="21"/>
        <v>3.200347849727643E-2</v>
      </c>
      <c r="K363">
        <f t="shared" ca="1" si="22"/>
        <v>0.73752620502296451</v>
      </c>
      <c r="L363">
        <f t="shared" si="23"/>
        <v>7.1930903463033626</v>
      </c>
      <c r="M363">
        <v>2.2567085658263988</v>
      </c>
    </row>
    <row r="364" spans="1:13" x14ac:dyDescent="0.3">
      <c r="A364">
        <v>22</v>
      </c>
      <c r="B364" t="s">
        <v>527</v>
      </c>
      <c r="C364" t="s">
        <v>528</v>
      </c>
      <c r="D364">
        <v>300</v>
      </c>
      <c r="E364" s="1">
        <v>1.6000000000000001E-3</v>
      </c>
      <c r="F364">
        <v>-2.795880017</v>
      </c>
      <c r="G364" t="s">
        <v>41</v>
      </c>
      <c r="H364" t="s">
        <v>11</v>
      </c>
      <c r="I364">
        <f t="shared" ca="1" si="20"/>
        <v>-2.1848022395160513</v>
      </c>
      <c r="J364">
        <f t="shared" ca="1" si="21"/>
        <v>6.5342803012409028E-3</v>
      </c>
      <c r="K364">
        <f t="shared" ca="1" si="22"/>
        <v>0.37341605013472223</v>
      </c>
      <c r="L364">
        <f t="shared" si="23"/>
        <v>5.0163008079498601</v>
      </c>
      <c r="M364">
        <v>2.2567085658263988</v>
      </c>
    </row>
    <row r="365" spans="1:13" x14ac:dyDescent="0.3">
      <c r="A365">
        <v>45</v>
      </c>
      <c r="B365" t="s">
        <v>529</v>
      </c>
      <c r="C365" t="s">
        <v>530</v>
      </c>
      <c r="D365">
        <v>300</v>
      </c>
      <c r="E365" s="1">
        <v>8.3000000000000001E-4</v>
      </c>
      <c r="F365">
        <v>-3.0809219080000001</v>
      </c>
      <c r="G365" t="s">
        <v>10</v>
      </c>
      <c r="H365" t="s">
        <v>11</v>
      </c>
      <c r="I365">
        <f t="shared" ca="1" si="20"/>
        <v>-2.1532795677503422</v>
      </c>
      <c r="J365">
        <f t="shared" ca="1" si="21"/>
        <v>7.026198778103232E-3</v>
      </c>
      <c r="K365">
        <f t="shared" ca="1" si="22"/>
        <v>0.86052031142386198</v>
      </c>
      <c r="L365">
        <f t="shared" si="23"/>
        <v>3.8207273498829202</v>
      </c>
      <c r="M365">
        <v>2.2567085658263988</v>
      </c>
    </row>
    <row r="366" spans="1:13" x14ac:dyDescent="0.3">
      <c r="A366">
        <v>46</v>
      </c>
      <c r="B366" t="s">
        <v>531</v>
      </c>
      <c r="C366" t="s">
        <v>530</v>
      </c>
      <c r="D366">
        <v>300</v>
      </c>
      <c r="E366" s="1">
        <v>7.94E-4</v>
      </c>
      <c r="F366">
        <v>-3.1001794980000001</v>
      </c>
      <c r="G366" t="s">
        <v>10</v>
      </c>
      <c r="H366" t="s">
        <v>11</v>
      </c>
      <c r="I366">
        <f t="shared" ca="1" si="20"/>
        <v>-2.6241431031910327</v>
      </c>
      <c r="J366">
        <f t="shared" ca="1" si="21"/>
        <v>2.3760572294788686E-3</v>
      </c>
      <c r="K366">
        <f t="shared" ca="1" si="22"/>
        <v>0.22661064918271911</v>
      </c>
      <c r="L366">
        <f t="shared" si="23"/>
        <v>3.7458138112518915</v>
      </c>
      <c r="M366">
        <v>2.2567085658263988</v>
      </c>
    </row>
    <row r="367" spans="1:13" x14ac:dyDescent="0.3">
      <c r="A367">
        <v>18</v>
      </c>
      <c r="B367" t="s">
        <v>532</v>
      </c>
      <c r="C367" t="s">
        <v>403</v>
      </c>
      <c r="D367">
        <v>300.14999999999998</v>
      </c>
      <c r="E367" s="1">
        <v>6.4000000000000005E-4</v>
      </c>
      <c r="F367">
        <v>-3.193820026</v>
      </c>
      <c r="G367" t="s">
        <v>57</v>
      </c>
      <c r="H367" t="s">
        <v>20</v>
      </c>
      <c r="I367">
        <f t="shared" ca="1" si="20"/>
        <v>-2.5696321325389189</v>
      </c>
      <c r="J367">
        <f t="shared" ca="1" si="21"/>
        <v>2.6938156239154497E-3</v>
      </c>
      <c r="K367">
        <f t="shared" ca="1" si="22"/>
        <v>0.389610526343382</v>
      </c>
      <c r="L367">
        <f t="shared" si="23"/>
        <v>3.3921166371279607</v>
      </c>
      <c r="M367">
        <v>2.2567085658263988</v>
      </c>
    </row>
    <row r="368" spans="1:13" x14ac:dyDescent="0.3">
      <c r="A368">
        <v>221</v>
      </c>
      <c r="B368" t="s">
        <v>533</v>
      </c>
      <c r="C368" t="s">
        <v>105</v>
      </c>
      <c r="D368">
        <v>300.14999999999998</v>
      </c>
      <c r="E368" s="1">
        <v>2.2400000000000002E-6</v>
      </c>
      <c r="F368">
        <v>-5.6497519819999997</v>
      </c>
      <c r="G368" t="s">
        <v>10</v>
      </c>
      <c r="H368" t="s">
        <v>11</v>
      </c>
      <c r="I368">
        <f t="shared" ca="1" si="20"/>
        <v>-4.5819880981452199</v>
      </c>
      <c r="J368">
        <f t="shared" ca="1" si="21"/>
        <v>2.6182547605949417E-5</v>
      </c>
      <c r="K368">
        <f t="shared" ca="1" si="22"/>
        <v>1.1401197116646438</v>
      </c>
      <c r="L368">
        <f t="shared" si="23"/>
        <v>0.37719494013416799</v>
      </c>
      <c r="M368">
        <v>2.2567085658263988</v>
      </c>
    </row>
    <row r="369" spans="1:13" x14ac:dyDescent="0.3">
      <c r="A369">
        <v>300</v>
      </c>
      <c r="B369" t="s">
        <v>534</v>
      </c>
      <c r="C369" t="s">
        <v>440</v>
      </c>
      <c r="D369">
        <v>300.14999999999998</v>
      </c>
      <c r="E369" s="1">
        <v>5.4000000000000001E-4</v>
      </c>
      <c r="F369">
        <v>-3.2676062400000001</v>
      </c>
      <c r="G369" t="s">
        <v>57</v>
      </c>
      <c r="H369" t="s">
        <v>20</v>
      </c>
      <c r="I369">
        <f t="shared" ca="1" si="20"/>
        <v>-2.9231422328020447</v>
      </c>
      <c r="J369">
        <f t="shared" ca="1" si="21"/>
        <v>1.1935971336487863E-3</v>
      </c>
      <c r="K369">
        <f t="shared" ca="1" si="22"/>
        <v>0.1186554522548731</v>
      </c>
      <c r="L369">
        <f t="shared" si="23"/>
        <v>3.1257665756237372</v>
      </c>
      <c r="M369">
        <v>2.2567085658263988</v>
      </c>
    </row>
    <row r="370" spans="1:13" x14ac:dyDescent="0.3">
      <c r="A370">
        <v>505</v>
      </c>
      <c r="B370" t="s">
        <v>535</v>
      </c>
      <c r="C370" t="s">
        <v>536</v>
      </c>
      <c r="D370">
        <v>300.14999999999998</v>
      </c>
      <c r="E370" s="1">
        <v>7.54E-7</v>
      </c>
      <c r="F370">
        <v>-6.1226286539999997</v>
      </c>
      <c r="G370" t="s">
        <v>19</v>
      </c>
      <c r="H370" t="s">
        <v>11</v>
      </c>
      <c r="I370">
        <f t="shared" ca="1" si="20"/>
        <v>-5.5721529922887818</v>
      </c>
      <c r="J370">
        <f t="shared" ca="1" si="21"/>
        <v>2.6782246796159127E-6</v>
      </c>
      <c r="K370">
        <f t="shared" ca="1" si="22"/>
        <v>0.30302345413640319</v>
      </c>
      <c r="L370">
        <f t="shared" si="23"/>
        <v>1.1816530352901309</v>
      </c>
      <c r="M370">
        <v>2.2567085658263988</v>
      </c>
    </row>
    <row r="371" spans="1:13" x14ac:dyDescent="0.3">
      <c r="A371">
        <v>587</v>
      </c>
      <c r="B371" t="s">
        <v>537</v>
      </c>
      <c r="C371" t="s">
        <v>274</v>
      </c>
      <c r="D371">
        <v>300.14999999999998</v>
      </c>
      <c r="E371" s="1">
        <v>9.8900000000000005E-8</v>
      </c>
      <c r="F371">
        <v>-7.0048037079999999</v>
      </c>
      <c r="G371" t="s">
        <v>308</v>
      </c>
      <c r="H371" t="s">
        <v>308</v>
      </c>
      <c r="I371">
        <f t="shared" ca="1" si="20"/>
        <v>-6.3449199479264937</v>
      </c>
      <c r="J371">
        <f t="shared" ca="1" si="21"/>
        <v>4.519392411717245E-7</v>
      </c>
      <c r="K371">
        <f t="shared" ca="1" si="22"/>
        <v>0.4354465768087486</v>
      </c>
      <c r="L371">
        <f t="shared" si="23"/>
        <v>3.8778026277751088</v>
      </c>
      <c r="M371">
        <v>2.2567085658263988</v>
      </c>
    </row>
    <row r="372" spans="1:13" x14ac:dyDescent="0.3">
      <c r="A372">
        <v>603</v>
      </c>
      <c r="B372" t="s">
        <v>538</v>
      </c>
      <c r="C372" t="s">
        <v>539</v>
      </c>
      <c r="D372">
        <v>300.14999999999998</v>
      </c>
      <c r="E372" s="1">
        <v>1.0200000000000001E-3</v>
      </c>
      <c r="F372">
        <v>-2.991399828</v>
      </c>
      <c r="G372" t="s">
        <v>41</v>
      </c>
      <c r="H372" t="s">
        <v>11</v>
      </c>
      <c r="I372">
        <f t="shared" ca="1" si="20"/>
        <v>-2.59661183775005</v>
      </c>
      <c r="J372">
        <f t="shared" ca="1" si="21"/>
        <v>2.5315596343850819E-3</v>
      </c>
      <c r="K372">
        <f t="shared" ca="1" si="22"/>
        <v>0.15585755724559464</v>
      </c>
      <c r="L372">
        <f t="shared" si="23"/>
        <v>4.178713459301389</v>
      </c>
      <c r="M372">
        <v>2.2567085658263988</v>
      </c>
    </row>
    <row r="373" spans="1:13" x14ac:dyDescent="0.3">
      <c r="A373">
        <v>606</v>
      </c>
      <c r="B373" t="s">
        <v>540</v>
      </c>
      <c r="C373" t="s">
        <v>291</v>
      </c>
      <c r="D373">
        <v>300.14999999999998</v>
      </c>
      <c r="E373" s="1">
        <v>7.8999999999999996E-5</v>
      </c>
      <c r="F373">
        <v>-4.1023729089999996</v>
      </c>
      <c r="G373" t="s">
        <v>41</v>
      </c>
      <c r="H373" t="s">
        <v>11</v>
      </c>
      <c r="I373">
        <f t="shared" ca="1" si="20"/>
        <v>-3.3028316480364497</v>
      </c>
      <c r="J373">
        <f t="shared" ca="1" si="21"/>
        <v>4.9793006753461391E-4</v>
      </c>
      <c r="K373">
        <f t="shared" ca="1" si="22"/>
        <v>0.63926622798318344</v>
      </c>
      <c r="L373">
        <f t="shared" si="23"/>
        <v>0.87089413893450296</v>
      </c>
      <c r="M373">
        <v>2.2567085658263988</v>
      </c>
    </row>
    <row r="374" spans="1:13" x14ac:dyDescent="0.3">
      <c r="A374">
        <v>608</v>
      </c>
      <c r="B374" t="s">
        <v>541</v>
      </c>
      <c r="C374" t="s">
        <v>291</v>
      </c>
      <c r="D374">
        <v>300.14999999999998</v>
      </c>
      <c r="E374" s="1">
        <v>1.5799999999999999E-4</v>
      </c>
      <c r="F374">
        <v>-3.8002448229999999</v>
      </c>
      <c r="G374" t="s">
        <v>41</v>
      </c>
      <c r="H374" t="s">
        <v>11</v>
      </c>
      <c r="I374">
        <f t="shared" ca="1" si="20"/>
        <v>-2.7800360338433316</v>
      </c>
      <c r="J374">
        <f t="shared" ca="1" si="21"/>
        <v>1.6594492155803241E-3</v>
      </c>
      <c r="K374">
        <f t="shared" ca="1" si="22"/>
        <v>1.0408259734725152</v>
      </c>
      <c r="L374">
        <f t="shared" si="23"/>
        <v>1.5260777063371616</v>
      </c>
      <c r="M374">
        <v>2.2567085658263988</v>
      </c>
    </row>
    <row r="375" spans="1:13" x14ac:dyDescent="0.3">
      <c r="A375">
        <v>655</v>
      </c>
      <c r="B375" t="s">
        <v>542</v>
      </c>
      <c r="C375" t="s">
        <v>291</v>
      </c>
      <c r="D375">
        <v>300.14999999999998</v>
      </c>
      <c r="E375" s="1">
        <v>7.8999999999999996E-5</v>
      </c>
      <c r="F375">
        <v>-4.1023729089999996</v>
      </c>
      <c r="G375" t="s">
        <v>41</v>
      </c>
      <c r="H375" t="s">
        <v>11</v>
      </c>
      <c r="I375">
        <f t="shared" ca="1" si="20"/>
        <v>-3.3770768556808921</v>
      </c>
      <c r="J375">
        <f t="shared" ca="1" si="21"/>
        <v>4.1968470718232602E-4</v>
      </c>
      <c r="K375">
        <f t="shared" ca="1" si="22"/>
        <v>0.52605436496027369</v>
      </c>
      <c r="L375">
        <f t="shared" si="23"/>
        <v>0.87089413893450296</v>
      </c>
      <c r="M375">
        <v>2.2567085658263988</v>
      </c>
    </row>
    <row r="376" spans="1:13" x14ac:dyDescent="0.3">
      <c r="A376">
        <v>660</v>
      </c>
      <c r="B376" t="s">
        <v>543</v>
      </c>
      <c r="C376" t="s">
        <v>329</v>
      </c>
      <c r="D376">
        <v>300.14999999999998</v>
      </c>
      <c r="E376" s="1">
        <v>7.34E-6</v>
      </c>
      <c r="F376">
        <v>-5.1343039399999997</v>
      </c>
      <c r="G376" t="s">
        <v>41</v>
      </c>
      <c r="H376" t="s">
        <v>11</v>
      </c>
      <c r="I376">
        <f t="shared" ca="1" si="20"/>
        <v>-4.6246351019846657</v>
      </c>
      <c r="J376">
        <f t="shared" ca="1" si="21"/>
        <v>2.3733669918235521E-5</v>
      </c>
      <c r="K376">
        <f t="shared" ca="1" si="22"/>
        <v>0.25976232444390079</v>
      </c>
      <c r="L376">
        <f t="shared" si="23"/>
        <v>9.7444419503235347E-3</v>
      </c>
      <c r="M376">
        <v>2.2567085658263988</v>
      </c>
    </row>
    <row r="377" spans="1:13" x14ac:dyDescent="0.3">
      <c r="A377">
        <v>661</v>
      </c>
      <c r="B377" t="s">
        <v>544</v>
      </c>
      <c r="C377" t="s">
        <v>329</v>
      </c>
      <c r="D377">
        <v>300.14999999999998</v>
      </c>
      <c r="E377" s="1">
        <v>1.68E-6</v>
      </c>
      <c r="F377">
        <v>-5.7746907179999996</v>
      </c>
      <c r="G377" t="s">
        <v>41</v>
      </c>
      <c r="H377" t="s">
        <v>11</v>
      </c>
      <c r="I377">
        <f t="shared" ca="1" si="20"/>
        <v>-4.5255238431100695</v>
      </c>
      <c r="J377">
        <f t="shared" ca="1" si="21"/>
        <v>2.9817838411438778E-5</v>
      </c>
      <c r="K377">
        <f t="shared" ca="1" si="22"/>
        <v>1.5604178813222742</v>
      </c>
      <c r="L377">
        <f t="shared" si="23"/>
        <v>0.54626987134811489</v>
      </c>
      <c r="M377">
        <v>2.2567085658263988</v>
      </c>
    </row>
    <row r="378" spans="1:13" x14ac:dyDescent="0.3">
      <c r="A378">
        <v>775</v>
      </c>
      <c r="B378" t="s">
        <v>545</v>
      </c>
      <c r="C378" t="s">
        <v>54</v>
      </c>
      <c r="D378">
        <v>300.14999999999998</v>
      </c>
      <c r="E378" s="1">
        <v>1.5200000000000001E-6</v>
      </c>
      <c r="F378">
        <v>-5.8181564120000004</v>
      </c>
      <c r="G378" t="s">
        <v>10</v>
      </c>
      <c r="H378" t="s">
        <v>11</v>
      </c>
      <c r="I378">
        <f t="shared" ca="1" si="20"/>
        <v>-5.2170715546436996</v>
      </c>
      <c r="J378">
        <f t="shared" ca="1" si="21"/>
        <v>6.066363715476754E-6</v>
      </c>
      <c r="K378">
        <f t="shared" ca="1" si="22"/>
        <v>0.36130300574304447</v>
      </c>
      <c r="L378">
        <f t="shared" si="23"/>
        <v>0.61241018919055445</v>
      </c>
      <c r="M378">
        <v>2.2567085658263988</v>
      </c>
    </row>
    <row r="379" spans="1:13" x14ac:dyDescent="0.3">
      <c r="A379">
        <v>776</v>
      </c>
      <c r="B379" t="s">
        <v>546</v>
      </c>
      <c r="C379" t="s">
        <v>547</v>
      </c>
      <c r="D379">
        <v>300.14999999999998</v>
      </c>
      <c r="E379" s="1">
        <v>9.7300000000000004E-7</v>
      </c>
      <c r="F379">
        <v>-6.0118871599999997</v>
      </c>
      <c r="G379" t="s">
        <v>10</v>
      </c>
      <c r="H379" t="s">
        <v>11</v>
      </c>
      <c r="I379">
        <f t="shared" ca="1" si="20"/>
        <v>-4.8136495995747488</v>
      </c>
      <c r="J379">
        <f t="shared" ca="1" si="21"/>
        <v>1.5358556525310188E-5</v>
      </c>
      <c r="K379">
        <f t="shared" ca="1" si="22"/>
        <v>1.4357732512138568</v>
      </c>
      <c r="L379">
        <f t="shared" si="23"/>
        <v>0.95315614462406495</v>
      </c>
      <c r="M379">
        <v>2.2567085658263988</v>
      </c>
    </row>
    <row r="380" spans="1:13" x14ac:dyDescent="0.3">
      <c r="A380">
        <v>785</v>
      </c>
      <c r="B380" t="s">
        <v>548</v>
      </c>
      <c r="C380" t="s">
        <v>549</v>
      </c>
      <c r="D380">
        <v>300.14999999999998</v>
      </c>
      <c r="E380" s="1">
        <v>4.3600000000000003E-4</v>
      </c>
      <c r="F380">
        <v>-3.3605135110000002</v>
      </c>
      <c r="G380" t="s">
        <v>10</v>
      </c>
      <c r="H380" t="s">
        <v>11</v>
      </c>
      <c r="I380">
        <f t="shared" ca="1" si="20"/>
        <v>-2.4147319390306849</v>
      </c>
      <c r="J380">
        <f t="shared" ca="1" si="21"/>
        <v>3.8482923813393734E-3</v>
      </c>
      <c r="K380">
        <f t="shared" ca="1" si="22"/>
        <v>0.89450278187674903</v>
      </c>
      <c r="L380">
        <f t="shared" si="23"/>
        <v>2.8058812440005667</v>
      </c>
      <c r="M380">
        <v>2.2567085658263988</v>
      </c>
    </row>
    <row r="381" spans="1:13" x14ac:dyDescent="0.3">
      <c r="A381">
        <v>786</v>
      </c>
      <c r="B381" t="s">
        <v>550</v>
      </c>
      <c r="C381" t="s">
        <v>549</v>
      </c>
      <c r="D381">
        <v>300.14999999999998</v>
      </c>
      <c r="E381" s="1">
        <v>3.1700000000000001E-4</v>
      </c>
      <c r="F381">
        <v>-3.4989407379999999</v>
      </c>
      <c r="G381" t="s">
        <v>10</v>
      </c>
      <c r="H381" t="s">
        <v>11</v>
      </c>
      <c r="I381">
        <f t="shared" ca="1" si="20"/>
        <v>-3.0696978839343103</v>
      </c>
      <c r="J381">
        <f t="shared" ca="1" si="21"/>
        <v>8.5173033662485243E-4</v>
      </c>
      <c r="K381">
        <f t="shared" ca="1" si="22"/>
        <v>0.18424942776645892</v>
      </c>
      <c r="L381">
        <f t="shared" si="23"/>
        <v>2.361290954405145</v>
      </c>
      <c r="M381">
        <v>2.2567085658263988</v>
      </c>
    </row>
    <row r="382" spans="1:13" x14ac:dyDescent="0.3">
      <c r="A382">
        <v>787</v>
      </c>
      <c r="B382" t="s">
        <v>551</v>
      </c>
      <c r="C382" t="s">
        <v>549</v>
      </c>
      <c r="D382">
        <v>300.14999999999998</v>
      </c>
      <c r="E382" s="1">
        <v>2.2599999999999999E-4</v>
      </c>
      <c r="F382">
        <v>-3.645891561</v>
      </c>
      <c r="G382" t="s">
        <v>10</v>
      </c>
      <c r="H382" t="s">
        <v>11</v>
      </c>
      <c r="I382">
        <f t="shared" ca="1" si="20"/>
        <v>-3.085006408209324</v>
      </c>
      <c r="J382">
        <f t="shared" ca="1" si="21"/>
        <v>8.2223051747852278E-4</v>
      </c>
      <c r="K382">
        <f t="shared" ca="1" si="22"/>
        <v>0.31459215462101991</v>
      </c>
      <c r="L382">
        <f t="shared" si="23"/>
        <v>1.9312617513590367</v>
      </c>
      <c r="M382">
        <v>2.2567085658263988</v>
      </c>
    </row>
    <row r="383" spans="1:13" x14ac:dyDescent="0.3">
      <c r="A383">
        <v>821</v>
      </c>
      <c r="B383" t="s">
        <v>552</v>
      </c>
      <c r="C383" t="s">
        <v>553</v>
      </c>
      <c r="D383">
        <v>300.14999999999998</v>
      </c>
      <c r="E383" s="1">
        <v>2.3E-3</v>
      </c>
      <c r="F383">
        <v>-2.638272164</v>
      </c>
      <c r="G383" t="s">
        <v>57</v>
      </c>
      <c r="H383" t="s">
        <v>20</v>
      </c>
      <c r="I383">
        <f t="shared" ca="1" si="20"/>
        <v>-2.4220637296633001</v>
      </c>
      <c r="J383">
        <f t="shared" ca="1" si="21"/>
        <v>3.7838705500161415E-3</v>
      </c>
      <c r="K383">
        <f t="shared" ca="1" si="22"/>
        <v>4.6746087078327073E-2</v>
      </c>
      <c r="L383">
        <f t="shared" si="23"/>
        <v>5.7471328068037231</v>
      </c>
      <c r="M383">
        <v>2.2567085658263988</v>
      </c>
    </row>
    <row r="384" spans="1:13" x14ac:dyDescent="0.3">
      <c r="A384">
        <v>832</v>
      </c>
      <c r="B384" t="s">
        <v>110</v>
      </c>
      <c r="C384" t="s">
        <v>554</v>
      </c>
      <c r="D384">
        <v>301.08999999999997</v>
      </c>
      <c r="E384" s="1">
        <v>5.2599999999999999E-3</v>
      </c>
      <c r="F384">
        <v>-2.279014256</v>
      </c>
      <c r="G384" t="s">
        <v>14</v>
      </c>
      <c r="H384" t="s">
        <v>11</v>
      </c>
      <c r="I384">
        <f t="shared" ca="1" si="20"/>
        <v>-1.3293023426359074</v>
      </c>
      <c r="J384">
        <f t="shared" ca="1" si="21"/>
        <v>4.6848712207813607E-2</v>
      </c>
      <c r="K384">
        <f t="shared" ca="1" si="22"/>
        <v>0.90195271838568569</v>
      </c>
      <c r="L384">
        <f t="shared" si="23"/>
        <v>7.5987098324091535</v>
      </c>
      <c r="M384">
        <v>2.2567085658263988</v>
      </c>
    </row>
    <row r="385" spans="1:13" x14ac:dyDescent="0.3">
      <c r="A385">
        <v>185</v>
      </c>
      <c r="B385" t="s">
        <v>555</v>
      </c>
      <c r="C385" t="s">
        <v>18</v>
      </c>
      <c r="D385">
        <v>301.14999999999998</v>
      </c>
      <c r="E385" s="1">
        <v>6.7000000000000002E-5</v>
      </c>
      <c r="F385">
        <v>-4.173925197</v>
      </c>
      <c r="G385" t="s">
        <v>19</v>
      </c>
      <c r="H385" t="s">
        <v>20</v>
      </c>
      <c r="I385">
        <f t="shared" ca="1" si="20"/>
        <v>-3.410815022062033</v>
      </c>
      <c r="J385">
        <f t="shared" ca="1" si="21"/>
        <v>3.8831572509632876E-4</v>
      </c>
      <c r="K385">
        <f t="shared" ca="1" si="22"/>
        <v>0.58233713909385454</v>
      </c>
      <c r="L385">
        <f t="shared" si="23"/>
        <v>0.7424662327290289</v>
      </c>
      <c r="M385">
        <v>2.2567085658263988</v>
      </c>
    </row>
    <row r="386" spans="1:13" x14ac:dyDescent="0.3">
      <c r="A386">
        <v>235</v>
      </c>
      <c r="B386" t="s">
        <v>39</v>
      </c>
      <c r="C386" t="s">
        <v>556</v>
      </c>
      <c r="D386">
        <v>302.14999999999998</v>
      </c>
      <c r="E386" s="1">
        <v>7.6000000000000004E-5</v>
      </c>
      <c r="F386">
        <v>-4.119186408</v>
      </c>
      <c r="G386" t="s">
        <v>41</v>
      </c>
      <c r="H386" t="s">
        <v>11</v>
      </c>
      <c r="I386">
        <f t="shared" ca="1" si="20"/>
        <v>-3.4482985647179616</v>
      </c>
      <c r="J386">
        <f t="shared" ca="1" si="21"/>
        <v>3.5620616794006829E-4</v>
      </c>
      <c r="K386">
        <f t="shared" ca="1" si="22"/>
        <v>0.45009049826362496</v>
      </c>
      <c r="L386">
        <f t="shared" si="23"/>
        <v>0.83979554343050244</v>
      </c>
      <c r="M386">
        <v>2.2567085658263988</v>
      </c>
    </row>
    <row r="387" spans="1:13" x14ac:dyDescent="0.3">
      <c r="A387">
        <v>867</v>
      </c>
      <c r="B387" t="s">
        <v>50</v>
      </c>
      <c r="C387" t="s">
        <v>557</v>
      </c>
      <c r="D387">
        <v>302.14999999999998</v>
      </c>
      <c r="E387" s="1">
        <v>2.3E-5</v>
      </c>
      <c r="F387">
        <v>-4.638272164</v>
      </c>
      <c r="G387" t="s">
        <v>10</v>
      </c>
      <c r="H387" t="s">
        <v>11</v>
      </c>
      <c r="I387">
        <f t="shared" ref="I387:I443" ca="1" si="24">F387*SQRT(0.862321) + RAND()*SQRT(1-0.862321)*M387</f>
        <v>-3.8131974114078058</v>
      </c>
      <c r="J387">
        <f t="shared" ref="J387:J443" ca="1" si="25">POWER(10,I387)</f>
        <v>1.5374556208975701E-4</v>
      </c>
      <c r="K387">
        <f t="shared" ref="K387:K443" ca="1" si="26">(F387-I387)^2</f>
        <v>0.68074834736507051</v>
      </c>
      <c r="L387">
        <f t="shared" ref="L387:L443" si="27">(F387+5.03559)^2</f>
        <v>0.15786146280372293</v>
      </c>
      <c r="M387">
        <v>2.2567085658263988</v>
      </c>
    </row>
    <row r="388" spans="1:13" x14ac:dyDescent="0.3">
      <c r="A388">
        <v>669</v>
      </c>
      <c r="B388" t="s">
        <v>558</v>
      </c>
      <c r="C388" t="s">
        <v>559</v>
      </c>
      <c r="D388">
        <v>302.76</v>
      </c>
      <c r="E388" s="1">
        <v>9.3800000000000003E-4</v>
      </c>
      <c r="F388">
        <v>-3.0277971620000002</v>
      </c>
      <c r="G388" t="s">
        <v>37</v>
      </c>
      <c r="H388" t="s">
        <v>38</v>
      </c>
      <c r="I388">
        <f t="shared" ca="1" si="24"/>
        <v>-2.1983697311843602</v>
      </c>
      <c r="J388">
        <f t="shared" ca="1" si="25"/>
        <v>6.3333030383451354E-3</v>
      </c>
      <c r="K388">
        <f t="shared" ca="1" si="26"/>
        <v>0.68794986298943317</v>
      </c>
      <c r="L388">
        <f t="shared" si="27"/>
        <v>4.0312320803240933</v>
      </c>
      <c r="M388">
        <v>2.2567085658263988</v>
      </c>
    </row>
    <row r="389" spans="1:13" x14ac:dyDescent="0.3">
      <c r="A389">
        <v>23</v>
      </c>
      <c r="B389" t="s">
        <v>560</v>
      </c>
      <c r="C389" t="s">
        <v>561</v>
      </c>
      <c r="D389">
        <v>303</v>
      </c>
      <c r="E389" s="1">
        <v>1.07E-4</v>
      </c>
      <c r="F389">
        <v>-3.9722427950000001</v>
      </c>
      <c r="G389" t="s">
        <v>10</v>
      </c>
      <c r="H389" t="s">
        <v>11</v>
      </c>
      <c r="I389">
        <f t="shared" ca="1" si="24"/>
        <v>-2.8939458904750652</v>
      </c>
      <c r="J389">
        <f t="shared" ca="1" si="25"/>
        <v>1.2765978525091821E-3</v>
      </c>
      <c r="K389">
        <f t="shared" ca="1" si="26"/>
        <v>1.1627242143080565</v>
      </c>
      <c r="L389">
        <f t="shared" si="27"/>
        <v>1.1307072783813119</v>
      </c>
      <c r="M389">
        <v>2.2567085658263988</v>
      </c>
    </row>
    <row r="390" spans="1:13" x14ac:dyDescent="0.3">
      <c r="A390">
        <v>64</v>
      </c>
      <c r="B390" t="s">
        <v>562</v>
      </c>
      <c r="C390" t="s">
        <v>563</v>
      </c>
      <c r="D390">
        <v>303.14999999999998</v>
      </c>
      <c r="E390" s="1">
        <v>1.2600000000000001E-3</v>
      </c>
      <c r="F390">
        <v>-2.89997427</v>
      </c>
      <c r="G390" t="s">
        <v>41</v>
      </c>
      <c r="H390" t="s">
        <v>11</v>
      </c>
      <c r="I390">
        <f t="shared" ca="1" si="24"/>
        <v>-2.5851948434064003</v>
      </c>
      <c r="J390">
        <f t="shared" ca="1" si="25"/>
        <v>2.5989932800606144E-3</v>
      </c>
      <c r="K390">
        <f t="shared" ca="1" si="26"/>
        <v>9.9086087406595427E-2</v>
      </c>
      <c r="L390">
        <f t="shared" si="27"/>
        <v>4.5608545462234327</v>
      </c>
      <c r="M390">
        <v>2.2567085658263988</v>
      </c>
    </row>
    <row r="391" spans="1:13" x14ac:dyDescent="0.3">
      <c r="A391">
        <v>106</v>
      </c>
      <c r="B391" t="s">
        <v>564</v>
      </c>
      <c r="C391" t="s">
        <v>565</v>
      </c>
      <c r="D391">
        <v>303.14999999999998</v>
      </c>
      <c r="E391" s="1">
        <v>6.8299999999999996E-8</v>
      </c>
      <c r="F391">
        <v>-7.1658591659999997</v>
      </c>
      <c r="G391" t="s">
        <v>19</v>
      </c>
      <c r="H391" t="s">
        <v>38</v>
      </c>
      <c r="I391">
        <f t="shared" ca="1" si="24"/>
        <v>-5.9406321512620153</v>
      </c>
      <c r="J391">
        <f t="shared" ca="1" si="25"/>
        <v>1.1464836053866442E-6</v>
      </c>
      <c r="K391">
        <f t="shared" ca="1" si="26"/>
        <v>1.5011812376437532</v>
      </c>
      <c r="L391">
        <f t="shared" si="27"/>
        <v>4.5380467196103345</v>
      </c>
      <c r="M391">
        <v>2.2567085658263988</v>
      </c>
    </row>
    <row r="392" spans="1:13" x14ac:dyDescent="0.3">
      <c r="A392">
        <v>115</v>
      </c>
      <c r="B392" t="s">
        <v>566</v>
      </c>
      <c r="C392" t="s">
        <v>567</v>
      </c>
      <c r="D392">
        <v>303.14999999999998</v>
      </c>
      <c r="E392" s="1">
        <v>5.8000000000000004E-6</v>
      </c>
      <c r="F392">
        <v>-5.2365720060000003</v>
      </c>
      <c r="G392" t="s">
        <v>41</v>
      </c>
      <c r="H392" t="s">
        <v>11</v>
      </c>
      <c r="I392">
        <f t="shared" ca="1" si="24"/>
        <v>-4.6973169127943475</v>
      </c>
      <c r="J392">
        <f t="shared" ca="1" si="25"/>
        <v>2.0076272748416336E-5</v>
      </c>
      <c r="K392">
        <f t="shared" ca="1" si="26"/>
        <v>0.29079605554823729</v>
      </c>
      <c r="L392">
        <f t="shared" si="27"/>
        <v>4.0393766735784147E-2</v>
      </c>
      <c r="M392">
        <v>2.2567085658263988</v>
      </c>
    </row>
    <row r="393" spans="1:13" x14ac:dyDescent="0.3">
      <c r="A393">
        <v>228</v>
      </c>
      <c r="B393" t="s">
        <v>568</v>
      </c>
      <c r="C393" t="s">
        <v>569</v>
      </c>
      <c r="D393">
        <v>303.14999999999998</v>
      </c>
      <c r="E393" s="1">
        <v>2.65E-6</v>
      </c>
      <c r="F393">
        <v>-5.576754126</v>
      </c>
      <c r="G393" t="s">
        <v>10</v>
      </c>
      <c r="H393" t="s">
        <v>11</v>
      </c>
      <c r="I393">
        <f t="shared" ca="1" si="24"/>
        <v>-4.9138287957307085</v>
      </c>
      <c r="J393">
        <f t="shared" ca="1" si="25"/>
        <v>1.2194702344682141E-5</v>
      </c>
      <c r="K393">
        <f t="shared" ca="1" si="26"/>
        <v>0.43946999351264915</v>
      </c>
      <c r="L393">
        <f t="shared" si="27"/>
        <v>0.29285861126934382</v>
      </c>
      <c r="M393">
        <v>2.2567085658263988</v>
      </c>
    </row>
    <row r="394" spans="1:13" x14ac:dyDescent="0.3">
      <c r="A394">
        <v>268</v>
      </c>
      <c r="B394" t="s">
        <v>570</v>
      </c>
      <c r="C394" t="s">
        <v>571</v>
      </c>
      <c r="D394">
        <v>303.14999999999998</v>
      </c>
      <c r="E394" s="1">
        <v>2.2999999999999999E-7</v>
      </c>
      <c r="F394">
        <v>-6.638272164</v>
      </c>
      <c r="G394" t="s">
        <v>19</v>
      </c>
      <c r="H394" t="s">
        <v>11</v>
      </c>
      <c r="I394">
        <f t="shared" ca="1" si="24"/>
        <v>-6.1145600571381227</v>
      </c>
      <c r="J394">
        <f t="shared" ca="1" si="25"/>
        <v>7.6813922491803081E-7</v>
      </c>
      <c r="K394">
        <f t="shared" ca="1" si="26"/>
        <v>0.27427437087370637</v>
      </c>
      <c r="L394">
        <f t="shared" si="27"/>
        <v>2.5685901188037228</v>
      </c>
      <c r="M394">
        <v>2.2567085658263988</v>
      </c>
    </row>
    <row r="395" spans="1:13" x14ac:dyDescent="0.3">
      <c r="A395">
        <v>350</v>
      </c>
      <c r="B395" t="s">
        <v>572</v>
      </c>
      <c r="C395" t="s">
        <v>573</v>
      </c>
      <c r="D395">
        <v>303.14999999999998</v>
      </c>
      <c r="E395" s="1">
        <v>6.5000000000000002E-7</v>
      </c>
      <c r="F395">
        <v>-6.1870866429999998</v>
      </c>
      <c r="G395" t="s">
        <v>14</v>
      </c>
      <c r="H395" t="s">
        <v>11</v>
      </c>
      <c r="I395">
        <f t="shared" ca="1" si="24"/>
        <v>-5.2764866990203485</v>
      </c>
      <c r="J395">
        <f t="shared" ca="1" si="25"/>
        <v>5.2907020060268161E-6</v>
      </c>
      <c r="K395">
        <f t="shared" ca="1" si="26"/>
        <v>0.82919225797574403</v>
      </c>
      <c r="L395">
        <f t="shared" si="27"/>
        <v>1.325944518840269</v>
      </c>
      <c r="M395">
        <v>2.2567085658263988</v>
      </c>
    </row>
    <row r="396" spans="1:13" x14ac:dyDescent="0.3">
      <c r="A396">
        <v>351</v>
      </c>
      <c r="B396" t="s">
        <v>574</v>
      </c>
      <c r="C396" t="s">
        <v>573</v>
      </c>
      <c r="D396">
        <v>303.14999999999998</v>
      </c>
      <c r="E396" s="1">
        <v>6.5000000000000002E-7</v>
      </c>
      <c r="F396">
        <v>-6.1870866429999998</v>
      </c>
      <c r="G396" t="s">
        <v>14</v>
      </c>
      <c r="H396" t="s">
        <v>11</v>
      </c>
      <c r="I396">
        <f t="shared" ca="1" si="24"/>
        <v>-5.3829703409372138</v>
      </c>
      <c r="J396">
        <f t="shared" ca="1" si="25"/>
        <v>4.1402794886452376E-6</v>
      </c>
      <c r="K396">
        <f t="shared" ca="1" si="26"/>
        <v>0.64660302724312957</v>
      </c>
      <c r="L396">
        <f t="shared" si="27"/>
        <v>1.325944518840269</v>
      </c>
      <c r="M396">
        <v>2.2567085658263988</v>
      </c>
    </row>
    <row r="397" spans="1:13" x14ac:dyDescent="0.3">
      <c r="A397">
        <v>446</v>
      </c>
      <c r="B397" t="s">
        <v>575</v>
      </c>
      <c r="C397" t="s">
        <v>576</v>
      </c>
      <c r="D397">
        <v>303.14999999999998</v>
      </c>
      <c r="E397" s="1">
        <v>3.5700000000000001E-10</v>
      </c>
      <c r="F397">
        <v>-9.4473317839999993</v>
      </c>
      <c r="G397" t="s">
        <v>14</v>
      </c>
      <c r="H397" t="s">
        <v>11</v>
      </c>
      <c r="I397">
        <f t="shared" ca="1" si="24"/>
        <v>-8.2768837569613556</v>
      </c>
      <c r="J397">
        <f t="shared" ca="1" si="25"/>
        <v>5.2858671409169886E-9</v>
      </c>
      <c r="K397">
        <f t="shared" ca="1" si="26"/>
        <v>1.3699485839986536</v>
      </c>
      <c r="L397">
        <f t="shared" si="27"/>
        <v>19.463465568691497</v>
      </c>
      <c r="M397">
        <v>2.2567085658263988</v>
      </c>
    </row>
    <row r="398" spans="1:13" x14ac:dyDescent="0.3">
      <c r="A398">
        <v>448</v>
      </c>
      <c r="B398" t="s">
        <v>577</v>
      </c>
      <c r="C398" t="s">
        <v>576</v>
      </c>
      <c r="D398">
        <v>303.14999999999998</v>
      </c>
      <c r="E398" s="1">
        <v>3.1699999999999999E-8</v>
      </c>
      <c r="F398">
        <v>-7.4989407379999999</v>
      </c>
      <c r="G398" t="s">
        <v>14</v>
      </c>
      <c r="H398" t="s">
        <v>11</v>
      </c>
      <c r="I398">
        <f t="shared" ca="1" si="24"/>
        <v>-6.5401831435250184</v>
      </c>
      <c r="J398">
        <f t="shared" ca="1" si="25"/>
        <v>2.8828155532049505E-7</v>
      </c>
      <c r="K398">
        <f t="shared" ca="1" si="26"/>
        <v>0.91921612496345317</v>
      </c>
      <c r="L398">
        <f t="shared" si="27"/>
        <v>6.068096858405144</v>
      </c>
      <c r="M398">
        <v>2.2567085658263988</v>
      </c>
    </row>
    <row r="399" spans="1:13" x14ac:dyDescent="0.3">
      <c r="A399">
        <v>449</v>
      </c>
      <c r="B399" t="s">
        <v>578</v>
      </c>
      <c r="C399" t="s">
        <v>576</v>
      </c>
      <c r="D399">
        <v>303.14999999999998</v>
      </c>
      <c r="E399" s="1">
        <v>1.37E-6</v>
      </c>
      <c r="F399">
        <v>-5.8632794329999998</v>
      </c>
      <c r="G399" t="s">
        <v>14</v>
      </c>
      <c r="H399" t="s">
        <v>11</v>
      </c>
      <c r="I399">
        <f t="shared" ca="1" si="24"/>
        <v>-4.6609493446197439</v>
      </c>
      <c r="J399">
        <f t="shared" ca="1" si="25"/>
        <v>2.182984516648526E-5</v>
      </c>
      <c r="K399">
        <f t="shared" ca="1" si="26"/>
        <v>1.445597641424474</v>
      </c>
      <c r="L399">
        <f t="shared" si="27"/>
        <v>0.68506979749986108</v>
      </c>
      <c r="M399">
        <v>2.2567085658263988</v>
      </c>
    </row>
    <row r="400" spans="1:13" x14ac:dyDescent="0.3">
      <c r="A400">
        <v>495</v>
      </c>
      <c r="B400" t="s">
        <v>579</v>
      </c>
      <c r="C400" t="s">
        <v>580</v>
      </c>
      <c r="D400">
        <v>303.14999999999998</v>
      </c>
      <c r="E400" s="1">
        <v>1.0999999999999999E-9</v>
      </c>
      <c r="F400">
        <v>-8.9586073150000001</v>
      </c>
      <c r="G400" t="s">
        <v>460</v>
      </c>
      <c r="H400" t="s">
        <v>11</v>
      </c>
      <c r="I400">
        <f t="shared" ca="1" si="24"/>
        <v>-7.5143717109237675</v>
      </c>
      <c r="J400">
        <f t="shared" ca="1" si="25"/>
        <v>3.0593438325507709E-8</v>
      </c>
      <c r="K400">
        <f t="shared" ca="1" si="26"/>
        <v>2.0858164800814403</v>
      </c>
      <c r="L400">
        <f t="shared" si="27"/>
        <v>15.390064853789809</v>
      </c>
      <c r="M400">
        <v>2.2567085658263988</v>
      </c>
    </row>
    <row r="401" spans="1:13" x14ac:dyDescent="0.3">
      <c r="A401">
        <v>534</v>
      </c>
      <c r="B401" t="s">
        <v>581</v>
      </c>
      <c r="C401" t="s">
        <v>582</v>
      </c>
      <c r="D401">
        <v>303.14999999999998</v>
      </c>
      <c r="E401" s="1">
        <v>3.9999999999999998E-7</v>
      </c>
      <c r="F401">
        <v>-6.397940009</v>
      </c>
      <c r="G401" t="s">
        <v>14</v>
      </c>
      <c r="H401" t="s">
        <v>11</v>
      </c>
      <c r="I401">
        <f t="shared" ca="1" si="24"/>
        <v>-5.9121356215120207</v>
      </c>
      <c r="J401">
        <f t="shared" ca="1" si="25"/>
        <v>1.2242338357356929E-6</v>
      </c>
      <c r="K401">
        <f t="shared" ca="1" si="26"/>
        <v>0.23600590290257081</v>
      </c>
      <c r="L401">
        <f t="shared" si="27"/>
        <v>1.8559975470223002</v>
      </c>
      <c r="M401">
        <v>2.2567085658263988</v>
      </c>
    </row>
    <row r="402" spans="1:13" x14ac:dyDescent="0.3">
      <c r="A402">
        <v>535</v>
      </c>
      <c r="B402" t="s">
        <v>583</v>
      </c>
      <c r="C402" t="s">
        <v>582</v>
      </c>
      <c r="D402">
        <v>303.14999999999998</v>
      </c>
      <c r="E402" s="1">
        <v>4.9999999999999998E-8</v>
      </c>
      <c r="F402">
        <v>-7.3010299959999996</v>
      </c>
      <c r="G402" t="s">
        <v>14</v>
      </c>
      <c r="H402" t="s">
        <v>11</v>
      </c>
      <c r="I402">
        <f t="shared" ca="1" si="24"/>
        <v>-6.5572068372090557</v>
      </c>
      <c r="J402">
        <f t="shared" ca="1" si="25"/>
        <v>2.7719995969358597E-7</v>
      </c>
      <c r="K402">
        <f t="shared" ca="1" si="26"/>
        <v>0.55327289155373771</v>
      </c>
      <c r="L402">
        <f t="shared" si="27"/>
        <v>5.1322183754764783</v>
      </c>
      <c r="M402">
        <v>2.2567085658263988</v>
      </c>
    </row>
    <row r="403" spans="1:13" x14ac:dyDescent="0.3">
      <c r="A403">
        <v>540</v>
      </c>
      <c r="B403" t="s">
        <v>584</v>
      </c>
      <c r="C403" t="s">
        <v>585</v>
      </c>
      <c r="D403">
        <v>303.14999999999998</v>
      </c>
      <c r="E403" s="1">
        <v>1.0300000000000001E-6</v>
      </c>
      <c r="F403">
        <v>-5.9871627749999998</v>
      </c>
      <c r="G403" t="s">
        <v>260</v>
      </c>
      <c r="H403" t="s">
        <v>11</v>
      </c>
      <c r="I403">
        <f t="shared" ca="1" si="24"/>
        <v>-4.9277598125476256</v>
      </c>
      <c r="J403">
        <f t="shared" ca="1" si="25"/>
        <v>1.1809735949394113E-5</v>
      </c>
      <c r="K403">
        <f t="shared" ca="1" si="26"/>
        <v>1.1223346368528666</v>
      </c>
      <c r="L403">
        <f t="shared" si="27"/>
        <v>0.90549074612120029</v>
      </c>
      <c r="M403">
        <v>2.2567085658263988</v>
      </c>
    </row>
    <row r="404" spans="1:13" x14ac:dyDescent="0.3">
      <c r="A404">
        <v>541</v>
      </c>
      <c r="B404" t="s">
        <v>586</v>
      </c>
      <c r="C404" t="s">
        <v>585</v>
      </c>
      <c r="D404">
        <v>303.14999999999998</v>
      </c>
      <c r="E404" s="1">
        <v>1.7500000000000001E-13</v>
      </c>
      <c r="F404">
        <v>-12.756961950000001</v>
      </c>
      <c r="G404" t="s">
        <v>260</v>
      </c>
      <c r="H404" t="s">
        <v>11</v>
      </c>
      <c r="I404">
        <f t="shared" ca="1" si="24"/>
        <v>-11.293174890495621</v>
      </c>
      <c r="J404">
        <f t="shared" ca="1" si="25"/>
        <v>5.091258046819545E-12</v>
      </c>
      <c r="K404">
        <f t="shared" ca="1" si="26"/>
        <v>2.1426725555724793</v>
      </c>
      <c r="L404">
        <f t="shared" si="27"/>
        <v>59.619584790246819</v>
      </c>
      <c r="M404">
        <v>2.2567085658263988</v>
      </c>
    </row>
    <row r="405" spans="1:13" x14ac:dyDescent="0.3">
      <c r="A405">
        <v>542</v>
      </c>
      <c r="B405" t="s">
        <v>365</v>
      </c>
      <c r="C405" t="s">
        <v>585</v>
      </c>
      <c r="D405">
        <v>303.14999999999998</v>
      </c>
      <c r="E405" s="1">
        <v>9.1999999999999999E-14</v>
      </c>
      <c r="F405">
        <v>-13.036212170000001</v>
      </c>
      <c r="G405" t="s">
        <v>260</v>
      </c>
      <c r="H405" t="s">
        <v>11</v>
      </c>
      <c r="I405">
        <f t="shared" ca="1" si="24"/>
        <v>-12.030469700838129</v>
      </c>
      <c r="J405">
        <f t="shared" ca="1" si="25"/>
        <v>9.3224550748440936E-13</v>
      </c>
      <c r="K405">
        <f t="shared" ca="1" si="26"/>
        <v>1.0115179142758184</v>
      </c>
      <c r="L405">
        <f t="shared" si="27"/>
        <v>64.009955107095507</v>
      </c>
      <c r="M405">
        <v>2.2567085658263988</v>
      </c>
    </row>
    <row r="406" spans="1:13" x14ac:dyDescent="0.3">
      <c r="A406">
        <v>543</v>
      </c>
      <c r="B406" t="s">
        <v>587</v>
      </c>
      <c r="C406" t="s">
        <v>585</v>
      </c>
      <c r="D406">
        <v>303.14999999999998</v>
      </c>
      <c r="E406" s="1">
        <v>1.1400000000000001E-6</v>
      </c>
      <c r="F406">
        <v>-5.9430951490000004</v>
      </c>
      <c r="G406" t="s">
        <v>260</v>
      </c>
      <c r="H406" t="s">
        <v>11</v>
      </c>
      <c r="I406">
        <f t="shared" ca="1" si="24"/>
        <v>-5.3840752533098772</v>
      </c>
      <c r="J406">
        <f t="shared" ca="1" si="25"/>
        <v>4.129759364969105E-6</v>
      </c>
      <c r="K406">
        <f t="shared" ca="1" si="26"/>
        <v>0.31250324377739613</v>
      </c>
      <c r="L406">
        <f t="shared" si="27"/>
        <v>0.82356559546151287</v>
      </c>
      <c r="M406">
        <v>2.2567085658263988</v>
      </c>
    </row>
    <row r="407" spans="1:13" x14ac:dyDescent="0.3">
      <c r="A407">
        <v>544</v>
      </c>
      <c r="B407" t="s">
        <v>588</v>
      </c>
      <c r="C407" t="s">
        <v>585</v>
      </c>
      <c r="D407">
        <v>303.14999999999998</v>
      </c>
      <c r="E407" s="1">
        <v>3.55E-13</v>
      </c>
      <c r="F407">
        <v>-12.449771650000001</v>
      </c>
      <c r="G407" t="s">
        <v>260</v>
      </c>
      <c r="H407" t="s">
        <v>11</v>
      </c>
      <c r="I407">
        <f t="shared" ca="1" si="24"/>
        <v>-10.841042461345953</v>
      </c>
      <c r="J407">
        <f t="shared" ca="1" si="25"/>
        <v>1.4419743615559936E-11</v>
      </c>
      <c r="K407">
        <f t="shared" ca="1" si="26"/>
        <v>2.5880096024275097</v>
      </c>
      <c r="L407">
        <f t="shared" si="27"/>
        <v>54.970089539196735</v>
      </c>
      <c r="M407">
        <v>2.2567085658263988</v>
      </c>
    </row>
    <row r="408" spans="1:13" x14ac:dyDescent="0.3">
      <c r="A408">
        <v>546</v>
      </c>
      <c r="B408" t="s">
        <v>589</v>
      </c>
      <c r="C408" t="s">
        <v>585</v>
      </c>
      <c r="D408">
        <v>303.14999999999998</v>
      </c>
      <c r="E408" s="1">
        <v>1.31E-13</v>
      </c>
      <c r="F408">
        <v>-12.88438949</v>
      </c>
      <c r="G408" t="s">
        <v>260</v>
      </c>
      <c r="H408" t="s">
        <v>11</v>
      </c>
      <c r="I408">
        <f t="shared" ca="1" si="24"/>
        <v>-11.500847860327093</v>
      </c>
      <c r="J408">
        <f t="shared" ca="1" si="25"/>
        <v>3.1561100609911931E-12</v>
      </c>
      <c r="K408">
        <f t="shared" ca="1" si="26"/>
        <v>1.9141874410379629</v>
      </c>
      <c r="L408">
        <f t="shared" si="27"/>
        <v>61.603653434224263</v>
      </c>
      <c r="M408">
        <v>2.2567085658263988</v>
      </c>
    </row>
    <row r="409" spans="1:13" x14ac:dyDescent="0.3">
      <c r="A409">
        <v>547</v>
      </c>
      <c r="B409" t="s">
        <v>590</v>
      </c>
      <c r="C409" t="s">
        <v>585</v>
      </c>
      <c r="D409">
        <v>303.14999999999998</v>
      </c>
      <c r="E409" s="1">
        <v>1.1E-5</v>
      </c>
      <c r="F409">
        <v>-4.9586073150000001</v>
      </c>
      <c r="G409" t="s">
        <v>260</v>
      </c>
      <c r="H409" t="s">
        <v>11</v>
      </c>
      <c r="I409">
        <f t="shared" ca="1" si="24"/>
        <v>-4.5822396761728958</v>
      </c>
      <c r="J409">
        <f t="shared" ca="1" si="25"/>
        <v>2.6167384976709821E-5</v>
      </c>
      <c r="K409">
        <f t="shared" ca="1" si="26"/>
        <v>0.14165259955628956</v>
      </c>
      <c r="L409">
        <f t="shared" si="27"/>
        <v>5.9263337898092161E-3</v>
      </c>
      <c r="M409">
        <v>2.2567085658263988</v>
      </c>
    </row>
    <row r="410" spans="1:13" x14ac:dyDescent="0.3">
      <c r="A410">
        <v>548</v>
      </c>
      <c r="B410" t="s">
        <v>591</v>
      </c>
      <c r="C410" t="s">
        <v>585</v>
      </c>
      <c r="D410">
        <v>303.14999999999998</v>
      </c>
      <c r="E410" s="1">
        <v>4.5000000000000001E-6</v>
      </c>
      <c r="F410">
        <v>-5.3467874860000002</v>
      </c>
      <c r="G410" t="s">
        <v>260</v>
      </c>
      <c r="H410" t="s">
        <v>11</v>
      </c>
      <c r="I410">
        <f t="shared" ca="1" si="24"/>
        <v>-4.9342610917467482</v>
      </c>
      <c r="J410">
        <f t="shared" ca="1" si="25"/>
        <v>1.1634263835110401E-5</v>
      </c>
      <c r="K410">
        <f t="shared" ca="1" si="26"/>
        <v>0.17017802595558951</v>
      </c>
      <c r="L410">
        <f t="shared" si="27"/>
        <v>9.6843875292720316E-2</v>
      </c>
      <c r="M410">
        <v>2.2567085658263988</v>
      </c>
    </row>
    <row r="411" spans="1:13" x14ac:dyDescent="0.3">
      <c r="A411">
        <v>549</v>
      </c>
      <c r="B411" t="s">
        <v>592</v>
      </c>
      <c r="C411" t="s">
        <v>585</v>
      </c>
      <c r="D411">
        <v>303.14999999999998</v>
      </c>
      <c r="E411" s="1">
        <v>1.9000000000000001E-5</v>
      </c>
      <c r="F411">
        <v>-4.721246399</v>
      </c>
      <c r="G411" t="s">
        <v>260</v>
      </c>
      <c r="H411" t="s">
        <v>11</v>
      </c>
      <c r="I411">
        <f t="shared" ca="1" si="24"/>
        <v>-3.63984896424284</v>
      </c>
      <c r="J411">
        <f t="shared" ca="1" si="25"/>
        <v>2.2916644925091619E-4</v>
      </c>
      <c r="K411">
        <f t="shared" ca="1" si="26"/>
        <v>1.1694204118993661</v>
      </c>
      <c r="L411">
        <f t="shared" si="27"/>
        <v>9.881189948964722E-2</v>
      </c>
      <c r="M411">
        <v>2.2567085658263988</v>
      </c>
    </row>
    <row r="412" spans="1:13" x14ac:dyDescent="0.3">
      <c r="A412">
        <v>550</v>
      </c>
      <c r="B412" t="s">
        <v>593</v>
      </c>
      <c r="C412" t="s">
        <v>585</v>
      </c>
      <c r="D412">
        <v>303.14999999999998</v>
      </c>
      <c r="E412" s="1">
        <v>3.1900000000000003E-5</v>
      </c>
      <c r="F412">
        <v>-4.4962093169999999</v>
      </c>
      <c r="G412" t="s">
        <v>260</v>
      </c>
      <c r="H412" t="s">
        <v>11</v>
      </c>
      <c r="I412">
        <f t="shared" ca="1" si="24"/>
        <v>-3.7715634060683225</v>
      </c>
      <c r="J412">
        <f t="shared" ca="1" si="25"/>
        <v>1.6921411773974371E-4</v>
      </c>
      <c r="K412">
        <f t="shared" ca="1" si="26"/>
        <v>0.52511169623000054</v>
      </c>
      <c r="L412">
        <f t="shared" si="27"/>
        <v>0.29093152119354659</v>
      </c>
      <c r="M412">
        <v>2.2567085658263988</v>
      </c>
    </row>
    <row r="413" spans="1:13" x14ac:dyDescent="0.3">
      <c r="A413">
        <v>551</v>
      </c>
      <c r="B413" t="s">
        <v>594</v>
      </c>
      <c r="C413" t="s">
        <v>585</v>
      </c>
      <c r="D413">
        <v>303.14999999999998</v>
      </c>
      <c r="E413" s="1">
        <v>2.7099999999999999E-6</v>
      </c>
      <c r="F413">
        <v>-5.567030709</v>
      </c>
      <c r="G413" t="s">
        <v>260</v>
      </c>
      <c r="H413" t="s">
        <v>11</v>
      </c>
      <c r="I413">
        <f t="shared" ca="1" si="24"/>
        <v>-4.8882900185564013</v>
      </c>
      <c r="J413">
        <f t="shared" ca="1" si="25"/>
        <v>1.2933318758038749E-5</v>
      </c>
      <c r="K413">
        <f t="shared" ca="1" si="26"/>
        <v>0.46068892486385299</v>
      </c>
      <c r="L413">
        <f t="shared" si="27"/>
        <v>0.28242922718242264</v>
      </c>
      <c r="M413">
        <v>2.2567085658263988</v>
      </c>
    </row>
    <row r="414" spans="1:13" x14ac:dyDescent="0.3">
      <c r="A414">
        <v>553</v>
      </c>
      <c r="B414" t="s">
        <v>595</v>
      </c>
      <c r="C414" t="s">
        <v>585</v>
      </c>
      <c r="D414">
        <v>303.14999999999998</v>
      </c>
      <c r="E414" s="1">
        <v>8.8899999999999998E-7</v>
      </c>
      <c r="F414">
        <v>-6.0510982389999999</v>
      </c>
      <c r="G414" t="s">
        <v>260</v>
      </c>
      <c r="H414" t="s">
        <v>11</v>
      </c>
      <c r="I414">
        <f t="shared" ca="1" si="24"/>
        <v>-4.9402607034564028</v>
      </c>
      <c r="J414">
        <f t="shared" ca="1" si="25"/>
        <v>1.1474646010140564E-5</v>
      </c>
      <c r="K414">
        <f t="shared" ca="1" si="26"/>
        <v>1.2339600303725724</v>
      </c>
      <c r="L414">
        <f t="shared" si="27"/>
        <v>1.0312569834768808</v>
      </c>
      <c r="M414">
        <v>2.2567085658263988</v>
      </c>
    </row>
    <row r="415" spans="1:13" x14ac:dyDescent="0.3">
      <c r="A415">
        <v>554</v>
      </c>
      <c r="B415" t="s">
        <v>596</v>
      </c>
      <c r="C415" t="s">
        <v>585</v>
      </c>
      <c r="D415">
        <v>303.14999999999998</v>
      </c>
      <c r="E415" s="1">
        <v>3.2E-13</v>
      </c>
      <c r="F415">
        <v>-12.494850019999999</v>
      </c>
      <c r="G415" t="s">
        <v>260</v>
      </c>
      <c r="H415" t="s">
        <v>11</v>
      </c>
      <c r="I415">
        <f t="shared" ca="1" si="24"/>
        <v>-11.119079433298563</v>
      </c>
      <c r="J415">
        <f t="shared" ca="1" si="25"/>
        <v>7.6018722451420392E-12</v>
      </c>
      <c r="K415">
        <f t="shared" ca="1" si="26"/>
        <v>1.8927447072328161</v>
      </c>
      <c r="L415">
        <f t="shared" si="27"/>
        <v>55.640560045970389</v>
      </c>
      <c r="M415">
        <v>2.2567085658263988</v>
      </c>
    </row>
    <row r="416" spans="1:13" x14ac:dyDescent="0.3">
      <c r="A416">
        <v>555</v>
      </c>
      <c r="B416" t="s">
        <v>351</v>
      </c>
      <c r="C416" t="s">
        <v>585</v>
      </c>
      <c r="D416">
        <v>303.14999999999998</v>
      </c>
      <c r="E416" s="1">
        <v>1.2999999999999999E-12</v>
      </c>
      <c r="F416">
        <v>-11.88605665</v>
      </c>
      <c r="G416" t="s">
        <v>260</v>
      </c>
      <c r="H416" t="s">
        <v>11</v>
      </c>
      <c r="I416">
        <f t="shared" ca="1" si="24"/>
        <v>-10.667612868431442</v>
      </c>
      <c r="J416">
        <f t="shared" ca="1" si="25"/>
        <v>2.1497459110588704E-11</v>
      </c>
      <c r="K416">
        <f t="shared" ca="1" si="26"/>
        <v>1.4846052488430879</v>
      </c>
      <c r="L416">
        <f t="shared" si="27"/>
        <v>46.928893322762228</v>
      </c>
      <c r="M416">
        <v>2.2567085658263988</v>
      </c>
    </row>
    <row r="417" spans="1:13" x14ac:dyDescent="0.3">
      <c r="A417">
        <v>556</v>
      </c>
      <c r="B417" t="s">
        <v>597</v>
      </c>
      <c r="C417" t="s">
        <v>585</v>
      </c>
      <c r="D417">
        <v>303.14999999999998</v>
      </c>
      <c r="E417" s="1">
        <v>2.0500000000000001E-13</v>
      </c>
      <c r="F417">
        <v>-12.68824614</v>
      </c>
      <c r="G417" t="s">
        <v>260</v>
      </c>
      <c r="H417" t="s">
        <v>11</v>
      </c>
      <c r="I417">
        <f t="shared" ca="1" si="24"/>
        <v>-11.629138005776355</v>
      </c>
      <c r="J417">
        <f t="shared" ca="1" si="25"/>
        <v>2.3488862965427049E-12</v>
      </c>
      <c r="K417">
        <f t="shared" ca="1" si="26"/>
        <v>1.1217100399786919</v>
      </c>
      <c r="L417">
        <f t="shared" si="27"/>
        <v>58.563145997079708</v>
      </c>
      <c r="M417">
        <v>2.2567085658263988</v>
      </c>
    </row>
    <row r="418" spans="1:13" x14ac:dyDescent="0.3">
      <c r="A418">
        <v>641</v>
      </c>
      <c r="B418" t="s">
        <v>598</v>
      </c>
      <c r="C418" t="s">
        <v>314</v>
      </c>
      <c r="D418">
        <v>303.14999999999998</v>
      </c>
      <c r="E418" s="1">
        <v>6.0000000000000002E-5</v>
      </c>
      <c r="F418">
        <v>-4.2218487500000004</v>
      </c>
      <c r="G418" t="s">
        <v>41</v>
      </c>
      <c r="H418" t="s">
        <v>11</v>
      </c>
      <c r="I418">
        <f t="shared" ca="1" si="24"/>
        <v>-3.1084663896561069</v>
      </c>
      <c r="J418">
        <f t="shared" ca="1" si="25"/>
        <v>7.7899309902408392E-4</v>
      </c>
      <c r="K418">
        <f t="shared" ca="1" si="26"/>
        <v>1.2396202803249394</v>
      </c>
      <c r="L418">
        <f t="shared" si="27"/>
        <v>0.66217482195156196</v>
      </c>
      <c r="M418">
        <v>2.2567085658263988</v>
      </c>
    </row>
    <row r="419" spans="1:13" x14ac:dyDescent="0.3">
      <c r="A419">
        <v>642</v>
      </c>
      <c r="B419" t="s">
        <v>599</v>
      </c>
      <c r="C419" t="s">
        <v>314</v>
      </c>
      <c r="D419">
        <v>303.14999999999998</v>
      </c>
      <c r="E419" s="1">
        <v>1.7000000000000001E-4</v>
      </c>
      <c r="F419">
        <v>-3.7695510790000002</v>
      </c>
      <c r="G419" t="s">
        <v>41</v>
      </c>
      <c r="H419" t="s">
        <v>11</v>
      </c>
      <c r="I419">
        <f t="shared" ca="1" si="24"/>
        <v>-3.3057970582045102</v>
      </c>
      <c r="J419">
        <f t="shared" ca="1" si="25"/>
        <v>4.9454172777740142E-4</v>
      </c>
      <c r="K419">
        <f t="shared" ca="1" si="26"/>
        <v>0.21506779180398378</v>
      </c>
      <c r="L419">
        <f t="shared" si="27"/>
        <v>1.6028545494868438</v>
      </c>
      <c r="M419">
        <v>2.2567085658263988</v>
      </c>
    </row>
    <row r="420" spans="1:13" x14ac:dyDescent="0.3">
      <c r="A420">
        <v>643</v>
      </c>
      <c r="B420" t="s">
        <v>600</v>
      </c>
      <c r="C420" t="s">
        <v>314</v>
      </c>
      <c r="D420">
        <v>303.14999999999998</v>
      </c>
      <c r="E420" s="1">
        <v>5.4E-6</v>
      </c>
      <c r="F420">
        <v>-5.2676062400000001</v>
      </c>
      <c r="G420" t="s">
        <v>41</v>
      </c>
      <c r="H420" t="s">
        <v>11</v>
      </c>
      <c r="I420">
        <f t="shared" ca="1" si="24"/>
        <v>-4.2090077222829194</v>
      </c>
      <c r="J420">
        <f t="shared" ca="1" si="25"/>
        <v>6.1800541115453631E-5</v>
      </c>
      <c r="K420">
        <f t="shared" ca="1" si="26"/>
        <v>1.1206308217128005</v>
      </c>
      <c r="L420">
        <f t="shared" si="27"/>
        <v>5.3831535623737645E-2</v>
      </c>
      <c r="M420">
        <v>2.2567085658263988</v>
      </c>
    </row>
    <row r="421" spans="1:13" x14ac:dyDescent="0.3">
      <c r="A421">
        <v>651</v>
      </c>
      <c r="B421" t="s">
        <v>601</v>
      </c>
      <c r="C421" t="s">
        <v>322</v>
      </c>
      <c r="D421">
        <v>303.14999999999998</v>
      </c>
      <c r="E421" s="1">
        <v>3.1999999999999999E-5</v>
      </c>
      <c r="F421">
        <v>-4.4948500219999996</v>
      </c>
      <c r="G421" t="s">
        <v>41</v>
      </c>
      <c r="H421" t="s">
        <v>11</v>
      </c>
      <c r="I421">
        <f t="shared" ca="1" si="24"/>
        <v>-3.6509888154880419</v>
      </c>
      <c r="J421">
        <f t="shared" ca="1" si="25"/>
        <v>2.2336297454055487E-4</v>
      </c>
      <c r="K421">
        <f t="shared" ca="1" si="26"/>
        <v>0.71210173585581693</v>
      </c>
      <c r="L421">
        <f t="shared" si="27"/>
        <v>0.29239972380744089</v>
      </c>
      <c r="M421">
        <v>2.2567085658263988</v>
      </c>
    </row>
    <row r="422" spans="1:13" x14ac:dyDescent="0.3">
      <c r="A422">
        <v>654</v>
      </c>
      <c r="B422" t="s">
        <v>602</v>
      </c>
      <c r="C422" t="s">
        <v>322</v>
      </c>
      <c r="D422">
        <v>303.14999999999998</v>
      </c>
      <c r="E422" s="1">
        <v>9.9999999999999995E-8</v>
      </c>
      <c r="F422">
        <v>-7</v>
      </c>
      <c r="G422" t="s">
        <v>41</v>
      </c>
      <c r="H422" t="s">
        <v>11</v>
      </c>
      <c r="I422">
        <f t="shared" ca="1" si="24"/>
        <v>-6.3563117875871438</v>
      </c>
      <c r="J422">
        <f t="shared" ca="1" si="25"/>
        <v>4.4023869498723808E-7</v>
      </c>
      <c r="K422">
        <f t="shared" ca="1" si="26"/>
        <v>0.41433451479925831</v>
      </c>
      <c r="L422">
        <f t="shared" si="27"/>
        <v>3.8589066481000001</v>
      </c>
      <c r="M422">
        <v>2.2567085658263988</v>
      </c>
    </row>
    <row r="423" spans="1:13" x14ac:dyDescent="0.3">
      <c r="A423">
        <v>683</v>
      </c>
      <c r="B423" t="s">
        <v>603</v>
      </c>
      <c r="C423" t="s">
        <v>322</v>
      </c>
      <c r="D423">
        <v>303.14999999999998</v>
      </c>
      <c r="E423" s="1">
        <v>2.0000000000000002E-5</v>
      </c>
      <c r="F423">
        <v>-4.6989700040000004</v>
      </c>
      <c r="G423" t="s">
        <v>41</v>
      </c>
      <c r="H423" t="s">
        <v>11</v>
      </c>
      <c r="I423">
        <f t="shared" ca="1" si="24"/>
        <v>-3.8203512282800252</v>
      </c>
      <c r="J423">
        <f t="shared" ca="1" si="25"/>
        <v>1.5123376763425707E-4</v>
      </c>
      <c r="K423">
        <f t="shared" ca="1" si="26"/>
        <v>0.77197095304766816</v>
      </c>
      <c r="L423">
        <f t="shared" si="27"/>
        <v>0.11331302170703973</v>
      </c>
      <c r="M423">
        <v>2.2567085658263988</v>
      </c>
    </row>
    <row r="424" spans="1:13" x14ac:dyDescent="0.3">
      <c r="A424">
        <v>771</v>
      </c>
      <c r="B424" t="s">
        <v>604</v>
      </c>
      <c r="C424" t="s">
        <v>561</v>
      </c>
      <c r="D424">
        <v>303.14999999999998</v>
      </c>
      <c r="E424" s="1">
        <v>3.7700000000000002E-5</v>
      </c>
      <c r="F424">
        <v>-4.4242350190000002</v>
      </c>
      <c r="G424" t="s">
        <v>10</v>
      </c>
      <c r="H424" t="s">
        <v>11</v>
      </c>
      <c r="I424">
        <f t="shared" ca="1" si="24"/>
        <v>-4.0277840810658239</v>
      </c>
      <c r="J424">
        <f t="shared" ca="1" si="25"/>
        <v>9.380282521330144E-5</v>
      </c>
      <c r="K424">
        <f t="shared" ca="1" si="26"/>
        <v>0.15717334618888809</v>
      </c>
      <c r="L424">
        <f t="shared" si="27"/>
        <v>0.3737549127935102</v>
      </c>
      <c r="M424">
        <v>2.2567085658263988</v>
      </c>
    </row>
    <row r="425" spans="1:13" x14ac:dyDescent="0.3">
      <c r="A425">
        <v>779</v>
      </c>
      <c r="B425" t="s">
        <v>605</v>
      </c>
      <c r="C425" t="s">
        <v>606</v>
      </c>
      <c r="D425">
        <v>303.14999999999998</v>
      </c>
      <c r="E425" s="1">
        <v>1.2E-4</v>
      </c>
      <c r="F425">
        <v>-3.9208187539999999</v>
      </c>
      <c r="G425" t="s">
        <v>57</v>
      </c>
      <c r="H425" t="s">
        <v>20</v>
      </c>
      <c r="I425">
        <f t="shared" ca="1" si="24"/>
        <v>-3.1693391912739388</v>
      </c>
      <c r="J425">
        <f t="shared" ca="1" si="25"/>
        <v>6.7711246485100069E-4</v>
      </c>
      <c r="K425">
        <f t="shared" ca="1" si="26"/>
        <v>0.564721533194952</v>
      </c>
      <c r="L425">
        <f t="shared" si="27"/>
        <v>1.2427149309083927</v>
      </c>
      <c r="M425">
        <v>2.2567085658263988</v>
      </c>
    </row>
    <row r="426" spans="1:13" x14ac:dyDescent="0.3">
      <c r="A426">
        <v>802</v>
      </c>
      <c r="B426" t="s">
        <v>607</v>
      </c>
      <c r="C426" t="s">
        <v>608</v>
      </c>
      <c r="D426">
        <v>303.14999999999998</v>
      </c>
      <c r="E426" s="1">
        <v>1.0300000000000001E-3</v>
      </c>
      <c r="F426">
        <v>-2.9871627749999998</v>
      </c>
      <c r="G426" t="s">
        <v>10</v>
      </c>
      <c r="H426" t="s">
        <v>11</v>
      </c>
      <c r="I426">
        <f t="shared" ca="1" si="24"/>
        <v>-2.0922967804513295</v>
      </c>
      <c r="J426">
        <f t="shared" ca="1" si="25"/>
        <v>8.0854318246419334E-3</v>
      </c>
      <c r="K426">
        <f t="shared" ca="1" si="26"/>
        <v>0.80078514819958091</v>
      </c>
      <c r="L426">
        <f t="shared" si="27"/>
        <v>4.1960540961212009</v>
      </c>
      <c r="M426">
        <v>2.2567085658263988</v>
      </c>
    </row>
    <row r="427" spans="1:13" x14ac:dyDescent="0.3">
      <c r="A427">
        <v>806</v>
      </c>
      <c r="B427" t="s">
        <v>609</v>
      </c>
      <c r="C427" t="s">
        <v>437</v>
      </c>
      <c r="D427">
        <v>303.14999999999998</v>
      </c>
      <c r="E427" s="1">
        <v>7.6999999999999996E-4</v>
      </c>
      <c r="F427">
        <v>-3.1135092750000002</v>
      </c>
      <c r="G427" t="s">
        <v>10</v>
      </c>
      <c r="H427" t="s">
        <v>11</v>
      </c>
      <c r="I427">
        <f t="shared" ca="1" si="24"/>
        <v>-2.0878461332483407</v>
      </c>
      <c r="J427">
        <f t="shared" ca="1" si="25"/>
        <v>8.1687173063496096E-3</v>
      </c>
      <c r="K427">
        <f t="shared" ca="1" si="26"/>
        <v>1.0519848803478848</v>
      </c>
      <c r="L427">
        <f t="shared" si="27"/>
        <v>3.6943943134165251</v>
      </c>
      <c r="M427">
        <v>2.2567085658263988</v>
      </c>
    </row>
    <row r="428" spans="1:13" x14ac:dyDescent="0.3">
      <c r="A428">
        <v>807</v>
      </c>
      <c r="B428" t="s">
        <v>610</v>
      </c>
      <c r="C428" t="s">
        <v>437</v>
      </c>
      <c r="D428">
        <v>303.14999999999998</v>
      </c>
      <c r="E428" s="1">
        <v>6.6E-4</v>
      </c>
      <c r="F428">
        <v>-3.1804560639999999</v>
      </c>
      <c r="G428" t="s">
        <v>10</v>
      </c>
      <c r="H428" t="s">
        <v>11</v>
      </c>
      <c r="I428">
        <f t="shared" ca="1" si="24"/>
        <v>-2.311422294077734</v>
      </c>
      <c r="J428">
        <f t="shared" ca="1" si="25"/>
        <v>4.8817744033735925E-3</v>
      </c>
      <c r="K428">
        <f t="shared" ca="1" si="26"/>
        <v>0.7552196932653058</v>
      </c>
      <c r="L428">
        <f t="shared" si="27"/>
        <v>3.4415219204988525</v>
      </c>
      <c r="M428">
        <v>2.2567085658263988</v>
      </c>
    </row>
    <row r="429" spans="1:13" x14ac:dyDescent="0.3">
      <c r="A429">
        <v>809</v>
      </c>
      <c r="B429" t="s">
        <v>611</v>
      </c>
      <c r="C429" t="s">
        <v>437</v>
      </c>
      <c r="D429">
        <v>303.14999999999998</v>
      </c>
      <c r="E429" s="1">
        <v>2.5999999999999998E-4</v>
      </c>
      <c r="F429">
        <v>-3.5850266519999998</v>
      </c>
      <c r="G429" t="s">
        <v>10</v>
      </c>
      <c r="H429" t="s">
        <v>11</v>
      </c>
      <c r="I429">
        <f t="shared" ca="1" si="24"/>
        <v>-3.2662339495757755</v>
      </c>
      <c r="J429">
        <f t="shared" ca="1" si="25"/>
        <v>5.4170899921560426E-4</v>
      </c>
      <c r="K429">
        <f t="shared" ca="1" si="26"/>
        <v>0.10162878711894002</v>
      </c>
      <c r="L429">
        <f t="shared" si="27"/>
        <v>2.1041340265609696</v>
      </c>
      <c r="M429">
        <v>2.2567085658263988</v>
      </c>
    </row>
    <row r="430" spans="1:13" x14ac:dyDescent="0.3">
      <c r="A430">
        <v>810</v>
      </c>
      <c r="B430" t="s">
        <v>612</v>
      </c>
      <c r="C430" t="s">
        <v>437</v>
      </c>
      <c r="D430">
        <v>303.14999999999998</v>
      </c>
      <c r="E430" s="1">
        <v>5.8999999999999998E-5</v>
      </c>
      <c r="F430">
        <v>-4.2291479880000002</v>
      </c>
      <c r="G430" t="s">
        <v>10</v>
      </c>
      <c r="H430" t="s">
        <v>11</v>
      </c>
      <c r="I430">
        <f t="shared" ca="1" si="24"/>
        <v>-3.7673952646594775</v>
      </c>
      <c r="J430">
        <f t="shared" ca="1" si="25"/>
        <v>1.7084596859949725E-4</v>
      </c>
      <c r="K430">
        <f t="shared" ca="1" si="26"/>
        <v>0.21321557751238934</v>
      </c>
      <c r="L430">
        <f t="shared" si="27"/>
        <v>0.65034871871860778</v>
      </c>
      <c r="M430">
        <v>2.2567085658263988</v>
      </c>
    </row>
    <row r="431" spans="1:13" x14ac:dyDescent="0.3">
      <c r="A431">
        <v>840</v>
      </c>
      <c r="B431" t="s">
        <v>30</v>
      </c>
      <c r="C431" t="s">
        <v>29</v>
      </c>
      <c r="D431">
        <v>303.14999999999998</v>
      </c>
      <c r="E431" s="1">
        <v>6.9999999999999999E-6</v>
      </c>
      <c r="F431">
        <v>-5.1549019600000001</v>
      </c>
      <c r="G431" t="s">
        <v>10</v>
      </c>
      <c r="H431" t="s">
        <v>11</v>
      </c>
      <c r="I431">
        <f t="shared" ca="1" si="24"/>
        <v>-4.2560471416911083</v>
      </c>
      <c r="J431">
        <f t="shared" ca="1" si="25"/>
        <v>5.5456551284914277E-5</v>
      </c>
      <c r="K431">
        <f t="shared" ca="1" si="26"/>
        <v>0.8079399843971109</v>
      </c>
      <c r="L431">
        <f t="shared" si="27"/>
        <v>1.4235343799041626E-2</v>
      </c>
      <c r="M431">
        <v>2.2567085658263988</v>
      </c>
    </row>
    <row r="432" spans="1:13" x14ac:dyDescent="0.3">
      <c r="A432">
        <v>853</v>
      </c>
      <c r="B432" t="s">
        <v>613</v>
      </c>
      <c r="C432" t="s">
        <v>614</v>
      </c>
      <c r="D432">
        <v>303.14999999999998</v>
      </c>
      <c r="E432" s="1">
        <v>8.1300000000000007E-9</v>
      </c>
      <c r="F432">
        <v>-8.0899094540000007</v>
      </c>
      <c r="G432" t="s">
        <v>19</v>
      </c>
      <c r="H432" t="s">
        <v>66</v>
      </c>
      <c r="I432">
        <f t="shared" ca="1" si="24"/>
        <v>-7.2879392673175865</v>
      </c>
      <c r="J432">
        <f t="shared" ca="1" si="25"/>
        <v>5.1530070031113738E-8</v>
      </c>
      <c r="K432">
        <f t="shared" ca="1" si="26"/>
        <v>0.64315618032742639</v>
      </c>
      <c r="L432">
        <f t="shared" si="27"/>
        <v>9.3288673270828628</v>
      </c>
      <c r="M432">
        <v>2.2567085658263988</v>
      </c>
    </row>
    <row r="433" spans="1:13" x14ac:dyDescent="0.3">
      <c r="A433">
        <v>855</v>
      </c>
      <c r="B433" t="s">
        <v>615</v>
      </c>
      <c r="C433" t="s">
        <v>616</v>
      </c>
      <c r="D433">
        <v>303.14999999999998</v>
      </c>
      <c r="E433" s="1">
        <v>4.1000000000000003E-8</v>
      </c>
      <c r="F433">
        <v>-7.3872161429999998</v>
      </c>
      <c r="G433" t="s">
        <v>19</v>
      </c>
      <c r="H433" t="s">
        <v>38</v>
      </c>
      <c r="I433">
        <f t="shared" ca="1" si="24"/>
        <v>-6.6513672287846681</v>
      </c>
      <c r="J433">
        <f t="shared" ca="1" si="25"/>
        <v>2.23168436709971E-7</v>
      </c>
      <c r="K433">
        <f t="shared" ca="1" si="26"/>
        <v>0.54147362455188264</v>
      </c>
      <c r="L433">
        <f t="shared" si="27"/>
        <v>5.5301455164410553</v>
      </c>
      <c r="M433">
        <v>2.2567085658263988</v>
      </c>
    </row>
    <row r="434" spans="1:13" x14ac:dyDescent="0.3">
      <c r="A434">
        <v>857</v>
      </c>
      <c r="B434" t="s">
        <v>617</v>
      </c>
      <c r="C434" t="s">
        <v>614</v>
      </c>
      <c r="D434">
        <v>303.14999999999998</v>
      </c>
      <c r="E434" s="1">
        <v>6.9199999999999998E-8</v>
      </c>
      <c r="F434">
        <v>-7.1598939059999998</v>
      </c>
      <c r="G434" t="s">
        <v>19</v>
      </c>
      <c r="H434" t="s">
        <v>66</v>
      </c>
      <c r="I434">
        <f t="shared" ca="1" si="24"/>
        <v>-6.3663896521821437</v>
      </c>
      <c r="J434">
        <f t="shared" ca="1" si="25"/>
        <v>4.3014051210237348E-7</v>
      </c>
      <c r="K434">
        <f t="shared" ca="1" si="26"/>
        <v>0.62964900082703257</v>
      </c>
      <c r="L434">
        <f t="shared" si="27"/>
        <v>4.5126670850468553</v>
      </c>
      <c r="M434">
        <v>2.2567085658263988</v>
      </c>
    </row>
    <row r="435" spans="1:13" x14ac:dyDescent="0.3">
      <c r="A435">
        <v>858</v>
      </c>
      <c r="B435" t="s">
        <v>618</v>
      </c>
      <c r="C435" t="s">
        <v>614</v>
      </c>
      <c r="D435">
        <v>303.14999999999998</v>
      </c>
      <c r="E435" s="1">
        <v>2.7500000000000001E-7</v>
      </c>
      <c r="F435">
        <v>-6.560667306</v>
      </c>
      <c r="G435" t="s">
        <v>19</v>
      </c>
      <c r="H435" t="s">
        <v>66</v>
      </c>
      <c r="I435">
        <f t="shared" ca="1" si="24"/>
        <v>-5.6068176910693586</v>
      </c>
      <c r="J435">
        <f t="shared" ca="1" si="25"/>
        <v>2.4727619477012399E-6</v>
      </c>
      <c r="K435">
        <f t="shared" ca="1" si="26"/>
        <v>0.90982908790333306</v>
      </c>
      <c r="L435">
        <f t="shared" si="27"/>
        <v>2.3258607892762178</v>
      </c>
      <c r="M435">
        <v>2.2567085658263988</v>
      </c>
    </row>
    <row r="436" spans="1:13" x14ac:dyDescent="0.3">
      <c r="A436">
        <v>862</v>
      </c>
      <c r="B436" t="s">
        <v>619</v>
      </c>
      <c r="C436" t="s">
        <v>614</v>
      </c>
      <c r="D436">
        <v>303.14999999999998</v>
      </c>
      <c r="E436" s="1">
        <v>2.88E-6</v>
      </c>
      <c r="F436">
        <v>-5.5406075120000002</v>
      </c>
      <c r="G436" t="s">
        <v>266</v>
      </c>
      <c r="H436" t="s">
        <v>66</v>
      </c>
      <c r="I436">
        <f t="shared" ca="1" si="24"/>
        <v>-4.4295191651250336</v>
      </c>
      <c r="J436">
        <f t="shared" ca="1" si="25"/>
        <v>3.719468070359463E-5</v>
      </c>
      <c r="K436">
        <f t="shared" ca="1" si="26"/>
        <v>1.2345173145613462</v>
      </c>
      <c r="L436">
        <f t="shared" si="27"/>
        <v>0.25504268742667036</v>
      </c>
      <c r="M436">
        <v>2.2567085658263988</v>
      </c>
    </row>
    <row r="437" spans="1:13" x14ac:dyDescent="0.3">
      <c r="A437">
        <v>893</v>
      </c>
      <c r="B437" t="s">
        <v>620</v>
      </c>
      <c r="C437" t="s">
        <v>621</v>
      </c>
      <c r="D437">
        <v>303.14999999999998</v>
      </c>
      <c r="E437" s="1">
        <v>4.3300000000000002E-5</v>
      </c>
      <c r="F437">
        <v>-4.3635121039999998</v>
      </c>
      <c r="G437" t="s">
        <v>57</v>
      </c>
      <c r="H437" t="s">
        <v>20</v>
      </c>
      <c r="I437">
        <f t="shared" ca="1" si="24"/>
        <v>-3.7346764202899068</v>
      </c>
      <c r="J437">
        <f t="shared" ca="1" si="25"/>
        <v>1.8421440161868688E-4</v>
      </c>
      <c r="K437">
        <f t="shared" ca="1" si="26"/>
        <v>0.39543431710714017</v>
      </c>
      <c r="L437">
        <f t="shared" si="27"/>
        <v>0.45168869829178715</v>
      </c>
      <c r="M437">
        <v>2.2567085658263988</v>
      </c>
    </row>
    <row r="438" spans="1:13" x14ac:dyDescent="0.3">
      <c r="A438">
        <v>894</v>
      </c>
      <c r="B438" t="s">
        <v>622</v>
      </c>
      <c r="C438" t="s">
        <v>621</v>
      </c>
      <c r="D438">
        <v>303.14999999999998</v>
      </c>
      <c r="E438" s="1">
        <v>4.3900000000000003E-6</v>
      </c>
      <c r="F438">
        <v>-5.3575354800000001</v>
      </c>
      <c r="G438" t="s">
        <v>57</v>
      </c>
      <c r="H438" t="s">
        <v>20</v>
      </c>
      <c r="I438">
        <f t="shared" ca="1" si="24"/>
        <v>-4.795214894998689</v>
      </c>
      <c r="J438">
        <f t="shared" ca="1" si="25"/>
        <v>1.602452278630025E-5</v>
      </c>
      <c r="K438">
        <f t="shared" ca="1" si="26"/>
        <v>0.31620444031621675</v>
      </c>
      <c r="L438">
        <f t="shared" si="27"/>
        <v>0.10364889209243047</v>
      </c>
      <c r="M438">
        <v>2.2567085658263988</v>
      </c>
    </row>
    <row r="439" spans="1:13" x14ac:dyDescent="0.3">
      <c r="A439">
        <v>895</v>
      </c>
      <c r="B439" t="s">
        <v>623</v>
      </c>
      <c r="C439" t="s">
        <v>621</v>
      </c>
      <c r="D439">
        <v>303.14999999999998</v>
      </c>
      <c r="E439" s="1">
        <v>1.63E-5</v>
      </c>
      <c r="F439">
        <v>-4.7878123959999996</v>
      </c>
      <c r="G439" t="s">
        <v>57</v>
      </c>
      <c r="H439" t="s">
        <v>20</v>
      </c>
      <c r="I439">
        <f t="shared" ca="1" si="24"/>
        <v>-4.3604028920129396</v>
      </c>
      <c r="J439">
        <f t="shared" ca="1" si="25"/>
        <v>4.3611106727362076E-5</v>
      </c>
      <c r="K439">
        <f t="shared" ca="1" si="26"/>
        <v>0.18267888409846467</v>
      </c>
      <c r="L439">
        <f t="shared" si="27"/>
        <v>6.1393741043981001E-2</v>
      </c>
      <c r="M439">
        <v>2.2567085658263988</v>
      </c>
    </row>
    <row r="440" spans="1:13" x14ac:dyDescent="0.3">
      <c r="A440">
        <v>896</v>
      </c>
      <c r="B440" t="s">
        <v>624</v>
      </c>
      <c r="C440" t="s">
        <v>621</v>
      </c>
      <c r="D440">
        <v>303.14999999999998</v>
      </c>
      <c r="E440" s="1">
        <v>3.1999999999999999E-6</v>
      </c>
      <c r="F440">
        <v>-5.4948500219999996</v>
      </c>
      <c r="G440" t="s">
        <v>57</v>
      </c>
      <c r="H440" t="s">
        <v>20</v>
      </c>
      <c r="I440">
        <f t="shared" ca="1" si="24"/>
        <v>-5.0918191916539994</v>
      </c>
      <c r="J440">
        <f t="shared" ca="1" si="25"/>
        <v>8.0943281745408658E-6</v>
      </c>
      <c r="K440">
        <f t="shared" ca="1" si="26"/>
        <v>0.16243385020938639</v>
      </c>
      <c r="L440">
        <f t="shared" si="27"/>
        <v>0.21091976780744012</v>
      </c>
      <c r="M440">
        <v>2.2567085658263988</v>
      </c>
    </row>
    <row r="441" spans="1:13" x14ac:dyDescent="0.3">
      <c r="A441">
        <v>927</v>
      </c>
      <c r="B441" t="s">
        <v>625</v>
      </c>
      <c r="C441" t="s">
        <v>563</v>
      </c>
      <c r="D441">
        <v>303.14999999999998</v>
      </c>
      <c r="E441" s="1">
        <v>8.9099999999999997E-4</v>
      </c>
      <c r="F441">
        <v>-3.0499760930000002</v>
      </c>
      <c r="G441" t="s">
        <v>41</v>
      </c>
      <c r="H441" t="s">
        <v>11</v>
      </c>
      <c r="I441">
        <f t="shared" ca="1" si="24"/>
        <v>-2.1432920227059298</v>
      </c>
      <c r="J441">
        <f t="shared" ca="1" si="25"/>
        <v>7.1896537798785548E-3</v>
      </c>
      <c r="K441">
        <f t="shared" ca="1" si="26"/>
        <v>0.82207600332502273</v>
      </c>
      <c r="L441">
        <f t="shared" si="27"/>
        <v>3.942662587671804</v>
      </c>
      <c r="M441">
        <v>2.2567085658263988</v>
      </c>
    </row>
    <row r="442" spans="1:13" x14ac:dyDescent="0.3">
      <c r="A442">
        <v>930</v>
      </c>
      <c r="B442" t="s">
        <v>626</v>
      </c>
      <c r="C442" t="s">
        <v>606</v>
      </c>
      <c r="D442">
        <v>303.14999999999998</v>
      </c>
      <c r="E442" s="1">
        <v>7.3000000000000004E-6</v>
      </c>
      <c r="F442">
        <v>-5.1366771399999998</v>
      </c>
      <c r="G442" t="s">
        <v>57</v>
      </c>
      <c r="H442" t="s">
        <v>20</v>
      </c>
      <c r="I442">
        <f t="shared" ca="1" si="24"/>
        <v>-4.7626607118005628</v>
      </c>
      <c r="J442">
        <f t="shared" ca="1" si="25"/>
        <v>1.7271867123066412E-5</v>
      </c>
      <c r="K442">
        <f t="shared" ca="1" si="26"/>
        <v>0.13988828856306457</v>
      </c>
      <c r="L442">
        <f t="shared" si="27"/>
        <v>1.0218609873379548E-2</v>
      </c>
      <c r="M442">
        <v>2.2567085658263988</v>
      </c>
    </row>
    <row r="443" spans="1:13" x14ac:dyDescent="0.3">
      <c r="A443">
        <v>931</v>
      </c>
      <c r="B443" t="s">
        <v>627</v>
      </c>
      <c r="C443" t="s">
        <v>563</v>
      </c>
      <c r="D443">
        <v>303.14999999999998</v>
      </c>
      <c r="E443" s="1">
        <v>5.2499999999999997E-4</v>
      </c>
      <c r="F443">
        <v>-3.2800061739999999</v>
      </c>
      <c r="G443" t="s">
        <v>41</v>
      </c>
      <c r="H443" t="s">
        <v>11</v>
      </c>
      <c r="I443">
        <f t="shared" ca="1" si="24"/>
        <v>-2.9310131482369077</v>
      </c>
      <c r="J443">
        <f t="shared" ca="1" si="25"/>
        <v>1.1721598779476424E-3</v>
      </c>
      <c r="K443">
        <f t="shared" ca="1" si="26"/>
        <v>0.12179613203127834</v>
      </c>
      <c r="L443">
        <f t="shared" si="27"/>
        <v>3.0820745701127987</v>
      </c>
      <c r="M443">
        <v>2.2567085658263988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LiIonDatabase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</dc:creator>
  <cp:lastModifiedBy>Nirmal Bhavsar</cp:lastModifiedBy>
  <dcterms:created xsi:type="dcterms:W3CDTF">2025-08-17T12:27:23Z</dcterms:created>
  <dcterms:modified xsi:type="dcterms:W3CDTF">2025-09-08T11:11:08Z</dcterms:modified>
</cp:coreProperties>
</file>